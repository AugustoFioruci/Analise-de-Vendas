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guxto\Desktop\"/>
    </mc:Choice>
  </mc:AlternateContent>
  <xr:revisionPtr revIDLastSave="0" documentId="13_ncr:1_{497C5701-6F52-4C4A-A71B-C0039474D15D}" xr6:coauthVersionLast="47" xr6:coauthVersionMax="47" xr10:uidLastSave="{00000000-0000-0000-0000-000000000000}"/>
  <bookViews>
    <workbookView xWindow="-108" yWindow="-108" windowWidth="23256" windowHeight="13176" tabRatio="735" xr2:uid="{00000000-000D-0000-FFFF-FFFF00000000}"/>
  </bookViews>
  <sheets>
    <sheet name="Principal" sheetId="6" r:id="rId1"/>
    <sheet name="Pivot" sheetId="7" r:id="rId2"/>
    <sheet name="Vendas" sheetId="4" r:id="rId3"/>
  </sheets>
  <definedNames>
    <definedName name="_xlnm._FilterDatabase" localSheetId="2" hidden="1">Vendas!$B$2:$E$402</definedName>
    <definedName name="G">TabelaVendas[[#Headers],[ValorUni]]</definedName>
    <definedName name="NativeTimeline_Data">#N/A</definedName>
  </definedNames>
  <calcPr calcId="191029"/>
  <pivotCaches>
    <pivotCache cacheId="2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6" l="1" a="1"/>
  <c r="B10" i="6" s="1"/>
  <c r="B14" i="6" a="1"/>
  <c r="B14" i="6" s="1"/>
  <c r="B12" i="6"/>
  <c r="B8" i="6" a="1"/>
  <c r="B8" i="6" s="1"/>
  <c r="B6" i="6"/>
  <c r="B4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<sst xmlns="http://schemas.openxmlformats.org/spreadsheetml/2006/main" count="1259" uniqueCount="153">
  <si>
    <t>Cliente</t>
  </si>
  <si>
    <t>Vendedor</t>
  </si>
  <si>
    <t>VendasID</t>
  </si>
  <si>
    <t>Data</t>
  </si>
  <si>
    <t>Adelina Buenaventura</t>
  </si>
  <si>
    <t>Adolfo Patrício</t>
  </si>
  <si>
    <t>Adélio Lisboa</t>
  </si>
  <si>
    <t>Alarico Quinterno</t>
  </si>
  <si>
    <t>Alexandra Tabares</t>
  </si>
  <si>
    <t>Alfredo Cotrim</t>
  </si>
  <si>
    <t>Almeno Figueira</t>
  </si>
  <si>
    <t>Amadeu Martinho</t>
  </si>
  <si>
    <t>Ana Homem</t>
  </si>
  <si>
    <t>Anacleto Guterres</t>
  </si>
  <si>
    <t>Andreia Carvalhal</t>
  </si>
  <si>
    <t>Anna Beça</t>
  </si>
  <si>
    <t>Antero Milheiro</t>
  </si>
  <si>
    <t>Antão Corte-Real</t>
  </si>
  <si>
    <t>Antónia Canhão</t>
  </si>
  <si>
    <t>António Lousado</t>
  </si>
  <si>
    <t>Antônio Sobral</t>
  </si>
  <si>
    <t>Aníbal Bastos</t>
  </si>
  <si>
    <t>Arcidres Murici</t>
  </si>
  <si>
    <t>Armindo Castilhos</t>
  </si>
  <si>
    <t>Artur Macedo</t>
  </si>
  <si>
    <t>Basilio Soares</t>
  </si>
  <si>
    <t>Belmira Colaço</t>
  </si>
  <si>
    <t>Bernardete Querino</t>
  </si>
  <si>
    <t>Bernardete Tavera</t>
  </si>
  <si>
    <t>Bernardete Águeda</t>
  </si>
  <si>
    <t>Brenda Serralheiro</t>
  </si>
  <si>
    <t>Bruno Perdigão</t>
  </si>
  <si>
    <t>Brígida Gusmão</t>
  </si>
  <si>
    <t>Bárbara Magalhães</t>
  </si>
  <si>
    <t>Capitolina Ruela</t>
  </si>
  <si>
    <t>Carlos Murici</t>
  </si>
  <si>
    <t>Carminda Alcaide</t>
  </si>
  <si>
    <t>Carminda Dias</t>
  </si>
  <si>
    <t>Cauê Parahyba</t>
  </si>
  <si>
    <t>Cecília Carlos</t>
  </si>
  <si>
    <t>Celestino Pereira</t>
  </si>
  <si>
    <t>Cesário Raminhos</t>
  </si>
  <si>
    <t>Cid Pardo</t>
  </si>
  <si>
    <t>Cidália Miera</t>
  </si>
  <si>
    <t>Cláudio Jorge</t>
  </si>
  <si>
    <t>Cláudio Lopes</t>
  </si>
  <si>
    <t>Cosme Ipanema</t>
  </si>
  <si>
    <t>Cosme Zambujal</t>
  </si>
  <si>
    <t>Custódio Rolim</t>
  </si>
  <si>
    <t>Cássia Guerra</t>
  </si>
  <si>
    <t>Cândida Silvestre</t>
  </si>
  <si>
    <t>Cândido Sousa do Prado</t>
  </si>
  <si>
    <t>Davide Alcántara</t>
  </si>
  <si>
    <t>Davide Fraga</t>
  </si>
  <si>
    <t>Deise Farias</t>
  </si>
  <si>
    <t>Deise Laureano</t>
  </si>
  <si>
    <t>Derli Lozada</t>
  </si>
  <si>
    <t>Dinarte Mangueira</t>
  </si>
  <si>
    <t>Dinarte Marino</t>
  </si>
  <si>
    <t>Dinarte Tabalipa</t>
  </si>
  <si>
    <t>Dinarte Tabares</t>
  </si>
  <si>
    <t>Diogo Simón</t>
  </si>
  <si>
    <t>Dulce Prado</t>
  </si>
  <si>
    <t>Eduarda Madureira</t>
  </si>
  <si>
    <t>Eloi Pereira</t>
  </si>
  <si>
    <t>Eloi Vasques</t>
  </si>
  <si>
    <t>Elsa Barreto</t>
  </si>
  <si>
    <t>Eládio Froes</t>
  </si>
  <si>
    <t>Emiliana Villalobos</t>
  </si>
  <si>
    <t>Epaminondas Sousa de Arronches</t>
  </si>
  <si>
    <t>Ermelinda Casquero</t>
  </si>
  <si>
    <t>Estela Mattos</t>
  </si>
  <si>
    <t>Ester Castanho</t>
  </si>
  <si>
    <t>Estêvão Simão</t>
  </si>
  <si>
    <t>Eusébio Bairros</t>
  </si>
  <si>
    <t>Eusébio Mata</t>
  </si>
  <si>
    <t>Evaristo Bahía</t>
  </si>
  <si>
    <t>Fabiano Bethancout</t>
  </si>
  <si>
    <t>Faustino Maranhão</t>
  </si>
  <si>
    <t>Feliciano Franca</t>
  </si>
  <si>
    <t>Floriano Orriça</t>
  </si>
  <si>
    <t>Floriano Siebra</t>
  </si>
  <si>
    <t>Florinda Assunção</t>
  </si>
  <si>
    <t>Flávia Camacho</t>
  </si>
  <si>
    <t>Flávia Campos</t>
  </si>
  <si>
    <t>Francisco Medina</t>
  </si>
  <si>
    <t>Galindo Bettencourt</t>
  </si>
  <si>
    <t>Garibaldo Oleiro</t>
  </si>
  <si>
    <t>Gertrudes Hidalgo</t>
  </si>
  <si>
    <t>Gertrudes Infante</t>
  </si>
  <si>
    <t>Gertrudes Rabello</t>
  </si>
  <si>
    <t>Gisela Bahia</t>
  </si>
  <si>
    <t>Gisela Candeias</t>
  </si>
  <si>
    <t>Godinho ou Godim Fogaça</t>
  </si>
  <si>
    <t>Godofredo Quiroga</t>
  </si>
  <si>
    <t>Greice Lameirinhas</t>
  </si>
  <si>
    <t>Guadalupe Rodrigues</t>
  </si>
  <si>
    <t>Guida Beiriz</t>
  </si>
  <si>
    <t>Guilhermina Vilaça</t>
  </si>
  <si>
    <t>Hermígio Cezar</t>
  </si>
  <si>
    <t>Hermígio Villaverde</t>
  </si>
  <si>
    <t>Humberto Almeida</t>
  </si>
  <si>
    <t>Humberto Lemes</t>
  </si>
  <si>
    <t>Humberto Vergueiro</t>
  </si>
  <si>
    <t>Ibijara Botelho</t>
  </si>
  <si>
    <t>Ifigénia Pires</t>
  </si>
  <si>
    <t>Ilduara Chávez</t>
  </si>
  <si>
    <t>Iolanda Rabello</t>
  </si>
  <si>
    <t>Iracema Rodríguez</t>
  </si>
  <si>
    <t>Iraci Alcoforado</t>
  </si>
  <si>
    <t>Irani Jaguariúna</t>
  </si>
  <si>
    <t>Irene Villanueva</t>
  </si>
  <si>
    <t>Isabel Meirelles</t>
  </si>
  <si>
    <t>Israel Canela</t>
  </si>
  <si>
    <t>Jacinto Dorneles</t>
  </si>
  <si>
    <t>Joaquim Mieiro</t>
  </si>
  <si>
    <t>Armando Lago</t>
  </si>
  <si>
    <t>Capitolino Bahía</t>
  </si>
  <si>
    <t>Daniel Pirajá</t>
  </si>
  <si>
    <t>Godo Capiperibe</t>
  </si>
  <si>
    <t>Hélio Liberato</t>
  </si>
  <si>
    <t>Iberê Lacerda</t>
  </si>
  <si>
    <t>Jéssica Castelão</t>
  </si>
  <si>
    <t>Napoleão Méndez</t>
  </si>
  <si>
    <t>Simão Rivero</t>
  </si>
  <si>
    <t>Tobias Furtado</t>
  </si>
  <si>
    <t>Produto</t>
  </si>
  <si>
    <t>Quantidade</t>
  </si>
  <si>
    <t>Capacete Gometws Endorphine 2.0</t>
  </si>
  <si>
    <t>Luva De Ciclismo - Gometws Sports</t>
  </si>
  <si>
    <t>Bermuda Predactor 3Xu Pro</t>
  </si>
  <si>
    <t>Camiseta Predactor 3Xu Multiplied</t>
  </si>
  <si>
    <t>Bicicleta Aro 29 Mountain Bike</t>
  </si>
  <si>
    <t>Bicicleta Altools Stroll Aro 26</t>
  </si>
  <si>
    <t xml:space="preserve">Bicicleta Gts Advanced 1.0 Aro 29 </t>
  </si>
  <si>
    <t>Bicicleta Trinc Câmbios Shimano Aro 29</t>
  </si>
  <si>
    <t>Bicicleta Gometws Endorphine 7.3</t>
  </si>
  <si>
    <t>Bicicleta Gometws Endorphine 6.1</t>
  </si>
  <si>
    <t>ValorUni</t>
  </si>
  <si>
    <t>Receita</t>
  </si>
  <si>
    <t>Rótulos de Linha</t>
  </si>
  <si>
    <t>Total Geral</t>
  </si>
  <si>
    <t>Soma de Receita</t>
  </si>
  <si>
    <t>Soma de Quantidade</t>
  </si>
  <si>
    <t>2018</t>
  </si>
  <si>
    <t>2019</t>
  </si>
  <si>
    <t>2020</t>
  </si>
  <si>
    <t>Faturamento Total</t>
  </si>
  <si>
    <t>Ticket Médio</t>
  </si>
  <si>
    <t>Número Total de Vendas</t>
  </si>
  <si>
    <t>Receita Média por Cliente</t>
  </si>
  <si>
    <t>Produtos Vendidos</t>
  </si>
  <si>
    <t>Clientes Unicos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</si>
</sst>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3" borderId="0" xfId="0" applyFont="1" applyFill="1"/>
    <xf numFmtId="0" fontId="2" fillId="2" borderId="2" xfId="0" applyFont="1" applyFill="1" applyBorder="1"/>
    <xf numFmtId="0" fontId="2" fillId="0" borderId="0" xfId="0" applyFont="1"/>
    <xf numFmtId="0" fontId="0" fillId="3" borderId="0" xfId="0" applyFill="1"/>
    <xf numFmtId="0" fontId="2" fillId="2" borderId="3" xfId="0" applyFont="1" applyFill="1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center"/>
    </xf>
    <xf numFmtId="165" fontId="1" fillId="3" borderId="0" xfId="0" applyNumberFormat="1" applyFont="1" applyFill="1"/>
    <xf numFmtId="165" fontId="2" fillId="2" borderId="1" xfId="0" applyNumberFormat="1" applyFont="1" applyFill="1" applyBorder="1"/>
    <xf numFmtId="165" fontId="1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11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[vendas.xlsx]Pivot!Tabela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VENDENDOR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Pivot!$A$2:$A$12</c:f>
              <c:strCache>
                <c:ptCount val="10"/>
                <c:pt idx="0">
                  <c:v>Armando Lago</c:v>
                </c:pt>
                <c:pt idx="1">
                  <c:v>Capitolino Bahía</c:v>
                </c:pt>
                <c:pt idx="2">
                  <c:v>Daniel Pirajá</c:v>
                </c:pt>
                <c:pt idx="3">
                  <c:v>Godo Capiperibe</c:v>
                </c:pt>
                <c:pt idx="4">
                  <c:v>Hélio Liberato</c:v>
                </c:pt>
                <c:pt idx="5">
                  <c:v>Iberê Lacerda</c:v>
                </c:pt>
                <c:pt idx="6">
                  <c:v>Jéssica Castelão</c:v>
                </c:pt>
                <c:pt idx="7">
                  <c:v>Napoleão Méndez</c:v>
                </c:pt>
                <c:pt idx="8">
                  <c:v>Simão Rivero</c:v>
                </c:pt>
                <c:pt idx="9">
                  <c:v>Tobias Furtado</c:v>
                </c:pt>
              </c:strCache>
            </c:strRef>
          </c:cat>
          <c:val>
            <c:numRef>
              <c:f>Pivot!$B$2:$B$12</c:f>
              <c:numCache>
                <c:formatCode>General</c:formatCode>
                <c:ptCount val="10"/>
                <c:pt idx="0">
                  <c:v>477897</c:v>
                </c:pt>
                <c:pt idx="1">
                  <c:v>232031</c:v>
                </c:pt>
                <c:pt idx="2">
                  <c:v>166593</c:v>
                </c:pt>
                <c:pt idx="3">
                  <c:v>108755</c:v>
                </c:pt>
                <c:pt idx="4">
                  <c:v>224632</c:v>
                </c:pt>
                <c:pt idx="5">
                  <c:v>467616</c:v>
                </c:pt>
                <c:pt idx="6">
                  <c:v>190255</c:v>
                </c:pt>
                <c:pt idx="7">
                  <c:v>154242</c:v>
                </c:pt>
                <c:pt idx="8">
                  <c:v>221240</c:v>
                </c:pt>
                <c:pt idx="9">
                  <c:v>195516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5-490C-96D7-318059B68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5751792"/>
        <c:axId val="1245752272"/>
      </c:barChart>
      <c:catAx>
        <c:axId val="124575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5752272"/>
        <c:crosses val="autoZero"/>
        <c:auto val="1"/>
        <c:lblAlgn val="ctr"/>
        <c:lblOffset val="100"/>
        <c:noMultiLvlLbl val="0"/>
      </c:catAx>
      <c:valAx>
        <c:axId val="124575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575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[vendas.xlsx]Pivot!Tabela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Pivot!$D$2:$D$12</c:f>
              <c:strCache>
                <c:ptCount val="10"/>
                <c:pt idx="0">
                  <c:v>Bermuda Predactor 3Xu Pro</c:v>
                </c:pt>
                <c:pt idx="1">
                  <c:v>Bicicleta Altools Stroll Aro 26</c:v>
                </c:pt>
                <c:pt idx="2">
                  <c:v>Bicicleta Aro 29 Mountain Bike</c:v>
                </c:pt>
                <c:pt idx="3">
                  <c:v>Bicicleta Gometws Endorphine 6.1</c:v>
                </c:pt>
                <c:pt idx="4">
                  <c:v>Bicicleta Gometws Endorphine 7.3</c:v>
                </c:pt>
                <c:pt idx="5">
                  <c:v>Bicicleta Gts Advanced 1.0 Aro 29 </c:v>
                </c:pt>
                <c:pt idx="6">
                  <c:v>Bicicleta Trinc Câmbios Shimano Aro 29</c:v>
                </c:pt>
                <c:pt idx="7">
                  <c:v>Camiseta Predactor 3Xu Multiplied</c:v>
                </c:pt>
                <c:pt idx="8">
                  <c:v>Capacete Gometws Endorphine 2.0</c:v>
                </c:pt>
                <c:pt idx="9">
                  <c:v>Luva De Ciclismo - Gometws Sports</c:v>
                </c:pt>
              </c:strCache>
            </c:strRef>
          </c:cat>
          <c:val>
            <c:numRef>
              <c:f>Pivot!$E$2:$E$12</c:f>
              <c:numCache>
                <c:formatCode>General</c:formatCode>
                <c:ptCount val="10"/>
                <c:pt idx="0">
                  <c:v>8625</c:v>
                </c:pt>
                <c:pt idx="1">
                  <c:v>496854</c:v>
                </c:pt>
                <c:pt idx="2">
                  <c:v>300968</c:v>
                </c:pt>
                <c:pt idx="3">
                  <c:v>404964</c:v>
                </c:pt>
                <c:pt idx="4">
                  <c:v>628792</c:v>
                </c:pt>
                <c:pt idx="5">
                  <c:v>255300</c:v>
                </c:pt>
                <c:pt idx="6">
                  <c:v>313978</c:v>
                </c:pt>
                <c:pt idx="7">
                  <c:v>8505</c:v>
                </c:pt>
                <c:pt idx="8">
                  <c:v>10075</c:v>
                </c:pt>
                <c:pt idx="9">
                  <c:v>10716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C-4830-98F0-CC6A361F5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436975"/>
        <c:axId val="680434575"/>
      </c:barChart>
      <c:catAx>
        <c:axId val="6804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434575"/>
        <c:crosses val="autoZero"/>
        <c:auto val="1"/>
        <c:lblAlgn val="ctr"/>
        <c:lblOffset val="100"/>
        <c:noMultiLvlLbl val="0"/>
      </c:catAx>
      <c:valAx>
        <c:axId val="68043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4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[vendas.xlsx]Pivot!Tabela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</a:t>
            </a:r>
            <a:r>
              <a:rPr lang="en-US" baseline="0"/>
              <a:t>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Pivot!$G$2:$G$12</c:f>
              <c:strCache>
                <c:ptCount val="10"/>
                <c:pt idx="0">
                  <c:v>Bermuda Predactor 3Xu Pro</c:v>
                </c:pt>
                <c:pt idx="1">
                  <c:v>Bicicleta Altools Stroll Aro 26</c:v>
                </c:pt>
                <c:pt idx="2">
                  <c:v>Bicicleta Aro 29 Mountain Bike</c:v>
                </c:pt>
                <c:pt idx="3">
                  <c:v>Bicicleta Gometws Endorphine 6.1</c:v>
                </c:pt>
                <c:pt idx="4">
                  <c:v>Bicicleta Gometws Endorphine 7.3</c:v>
                </c:pt>
                <c:pt idx="5">
                  <c:v>Bicicleta Gts Advanced 1.0 Aro 29 </c:v>
                </c:pt>
                <c:pt idx="6">
                  <c:v>Bicicleta Trinc Câmbios Shimano Aro 29</c:v>
                </c:pt>
                <c:pt idx="7">
                  <c:v>Camiseta Predactor 3Xu Multiplied</c:v>
                </c:pt>
                <c:pt idx="8">
                  <c:v>Capacete Gometws Endorphine 2.0</c:v>
                </c:pt>
                <c:pt idx="9">
                  <c:v>Luva De Ciclismo - Gometws Sports</c:v>
                </c:pt>
              </c:strCache>
            </c:strRef>
          </c:cat>
          <c:val>
            <c:numRef>
              <c:f>Pivot!$H$2:$H$12</c:f>
              <c:numCache>
                <c:formatCode>General</c:formatCode>
                <c:ptCount val="10"/>
                <c:pt idx="0">
                  <c:v>75</c:v>
                </c:pt>
                <c:pt idx="1">
                  <c:v>54</c:v>
                </c:pt>
                <c:pt idx="2">
                  <c:v>34</c:v>
                </c:pt>
                <c:pt idx="3">
                  <c:v>112</c:v>
                </c:pt>
                <c:pt idx="4">
                  <c:v>212</c:v>
                </c:pt>
                <c:pt idx="5">
                  <c:v>60</c:v>
                </c:pt>
                <c:pt idx="6">
                  <c:v>41</c:v>
                </c:pt>
                <c:pt idx="7">
                  <c:v>63</c:v>
                </c:pt>
                <c:pt idx="8">
                  <c:v>65</c:v>
                </c:pt>
                <c:pt idx="9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5-401C-9795-3617E5092F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[vendas.xlsx]Pivot!Tabela dinâmica7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Pivot!$K$1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Pivot!$J$2:$J$5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Pivot!$K$2:$K$5</c:f>
              <c:numCache>
                <c:formatCode>General</c:formatCode>
                <c:ptCount val="3"/>
                <c:pt idx="0">
                  <c:v>834410</c:v>
                </c:pt>
                <c:pt idx="1">
                  <c:v>841940</c:v>
                </c:pt>
                <c:pt idx="2">
                  <c:v>762427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D-4DEE-94CD-1EF344D40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876655"/>
        <c:axId val="859877615"/>
      </c:lineChart>
      <c:catAx>
        <c:axId val="85987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9877615"/>
        <c:crosses val="autoZero"/>
        <c:auto val="1"/>
        <c:lblAlgn val="ctr"/>
        <c:lblOffset val="100"/>
        <c:noMultiLvlLbl val="0"/>
      </c:catAx>
      <c:valAx>
        <c:axId val="85987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987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1267541</xdr:colOff>
      <xdr:row>29</xdr:row>
      <xdr:rowOff>146313</xdr:rowOff>
    </xdr:from>
    <xdr:to>
      <xdr:col>7</xdr:col>
      <xdr:colOff>2049135</xdr:colOff>
      <xdr:row>44</xdr:row>
      <xdr:rowOff>146312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6DAD8F-7010-FA4A-7BE8-822347F69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1315242</xdr:colOff>
      <xdr:row>14</xdr:row>
      <xdr:rowOff>109798</xdr:rowOff>
    </xdr:from>
    <xdr:to>
      <xdr:col>8</xdr:col>
      <xdr:colOff>3117</xdr:colOff>
      <xdr:row>29</xdr:row>
      <xdr:rowOff>109798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B48EE25-3AA5-C13B-4A0A-E58424731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2059478</xdr:colOff>
      <xdr:row>16</xdr:row>
      <xdr:rowOff>55120</xdr:rowOff>
    </xdr:from>
    <xdr:to>
      <xdr:col>12</xdr:col>
      <xdr:colOff>404849</xdr:colOff>
      <xdr:row>42</xdr:row>
      <xdr:rowOff>100346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1E5FB7-A42E-6A22-F7D8-972CAF1C7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29637</xdr:colOff>
      <xdr:row>3</xdr:row>
      <xdr:rowOff>27957</xdr:rowOff>
    </xdr:from>
    <xdr:to>
      <xdr:col>8</xdr:col>
      <xdr:colOff>1263692</xdr:colOff>
      <xdr:row>5</xdr:row>
      <xdr:rowOff>412159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4" name="Data">
              <a:extLst>
                <a:ext uri="{FF2B5EF4-FFF2-40B4-BE49-F238E27FC236}">
                  <a16:creationId xmlns:a16="http://schemas.microsoft.com/office/drawing/2014/main" id="{592BBFFE-FDDA-094A-9B78-444725E43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9564" y="568284"/>
              <a:ext cx="3326092" cy="1326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2</xdr:col>
      <xdr:colOff>1589313</xdr:colOff>
      <xdr:row>2</xdr:row>
      <xdr:rowOff>174172</xdr:rowOff>
    </xdr:from>
    <xdr:to>
      <xdr:col>6</xdr:col>
      <xdr:colOff>1796142</xdr:colOff>
      <xdr:row>12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862820F-242C-4D72-AC23-54938DB3C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uxto Fioruci" refreshedDate="46003.673217939817" createdVersion="8" refreshedVersion="8" minRefreshableVersion="3" recordCount="400" xr:uid="{32BB8357-E685-4ACE-A4D5-E8A551E2B27F}">
  <cacheSource type="worksheet">
    <worksheetSource name="TabelaVendas"/>
  </cacheSource>
  <cacheFields count="11">
    <cacheField name="VendasID" numFmtId="0">
      <sharedItems containsSemiMixedTypes="0" containsString="0" containsNumber="1" containsInteger="1" minValue="1" maxValue="400"/>
    </cacheField>
    <cacheField name="Vendedor" numFmtId="0">
      <sharedItems count="10">
        <s v="Armando Lago"/>
        <s v="Iberê Lacerda"/>
        <s v="Jéssica Castelão"/>
        <s v="Hélio Liberato"/>
        <s v="Napoleão Méndez"/>
        <s v="Simão Rivero"/>
        <s v="Godo Capiperibe"/>
        <s v="Daniel Pirajá"/>
        <s v="Tobias Furtado"/>
        <s v="Capitolino Bahía"/>
      </sharedItems>
    </cacheField>
    <cacheField name="Cliente" numFmtId="0">
      <sharedItems/>
    </cacheField>
    <cacheField name="Data" numFmtId="14">
      <sharedItems containsSemiMixedTypes="0" containsNonDate="0" containsDate="1" containsString="0" minDate="2018-01-03T00:00:00" maxDate="2020-12-21T00:00:00" count="337">
        <d v="2019-01-01T00:00:00"/>
        <d v="2020-01-01T00:00:00"/>
        <d v="2020-01-02T00:00:00"/>
        <d v="2019-01-02T00:00:00"/>
        <d v="2018-01-03T00:00:00"/>
        <d v="2020-01-04T00:00:00"/>
        <d v="2019-01-06T00:00:00"/>
        <d v="2020-01-06T00:00:00"/>
        <d v="2019-01-08T00:00:00"/>
        <d v="2018-01-09T00:00:00"/>
        <d v="2019-01-10T00:00:00"/>
        <d v="2020-01-12T00:00:00"/>
        <d v="2018-01-12T00:00:00"/>
        <d v="2020-01-13T00:00:00"/>
        <d v="2019-01-13T00:00:00"/>
        <d v="2019-01-14T00:00:00"/>
        <d v="2018-01-15T00:00:00"/>
        <d v="2019-01-17T00:00:00"/>
        <d v="2020-01-17T00:00:00"/>
        <d v="2018-01-17T00:00:00"/>
        <d v="2019-01-18T00:00:00"/>
        <d v="2019-01-19T00:00:00"/>
        <d v="2018-01-21T00:00:00"/>
        <d v="2020-01-22T00:00:00"/>
        <d v="2018-01-22T00:00:00"/>
        <d v="2019-01-23T00:00:00"/>
        <d v="2018-01-23T00:00:00"/>
        <d v="2020-01-24T00:00:00"/>
        <d v="2019-01-24T00:00:00"/>
        <d v="2020-01-26T00:00:00"/>
        <d v="2019-01-27T00:00:00"/>
        <d v="2018-01-27T00:00:00"/>
        <d v="2020-01-27T00:00:00"/>
        <d v="2019-01-29T00:00:00"/>
        <d v="2018-01-30T00:00:00"/>
        <d v="2019-02-01T00:00:00"/>
        <d v="2019-02-02T00:00:00"/>
        <d v="2019-02-03T00:00:00"/>
        <d v="2020-02-05T00:00:00"/>
        <d v="2018-02-08T00:00:00"/>
        <d v="2020-02-09T00:00:00"/>
        <d v="2019-02-09T00:00:00"/>
        <d v="2019-02-10T00:00:00"/>
        <d v="2018-02-10T00:00:00"/>
        <d v="2018-02-11T00:00:00"/>
        <d v="2020-02-12T00:00:00"/>
        <d v="2020-02-13T00:00:00"/>
        <d v="2020-02-14T00:00:00"/>
        <d v="2018-02-14T00:00:00"/>
        <d v="2019-02-15T00:00:00"/>
        <d v="2018-02-19T00:00:00"/>
        <d v="2018-02-20T00:00:00"/>
        <d v="2020-02-21T00:00:00"/>
        <d v="2019-02-21T00:00:00"/>
        <d v="2020-02-22T00:00:00"/>
        <d v="2019-02-24T00:00:00"/>
        <d v="2020-02-24T00:00:00"/>
        <d v="2020-02-25T00:00:00"/>
        <d v="2019-02-27T00:00:00"/>
        <d v="2019-02-28T00:00:00"/>
        <d v="2019-03-02T00:00:00"/>
        <d v="2019-03-04T00:00:00"/>
        <d v="2020-03-07T00:00:00"/>
        <d v="2018-03-08T00:00:00"/>
        <d v="2019-03-09T00:00:00"/>
        <d v="2018-03-10T00:00:00"/>
        <d v="2020-03-11T00:00:00"/>
        <d v="2019-03-12T00:00:00"/>
        <d v="2019-03-13T00:00:00"/>
        <d v="2018-03-14T00:00:00"/>
        <d v="2020-03-15T00:00:00"/>
        <d v="2019-03-15T00:00:00"/>
        <d v="2020-03-17T00:00:00"/>
        <d v="2018-03-17T00:00:00"/>
        <d v="2019-03-18T00:00:00"/>
        <d v="2018-03-18T00:00:00"/>
        <d v="2019-03-19T00:00:00"/>
        <d v="2019-03-23T00:00:00"/>
        <d v="2020-03-23T00:00:00"/>
        <d v="2018-03-23T00:00:00"/>
        <d v="2020-03-28T00:00:00"/>
        <d v="2018-03-29T00:00:00"/>
        <d v="2019-03-30T00:00:00"/>
        <d v="2018-03-30T00:00:00"/>
        <d v="2018-04-01T00:00:00"/>
        <d v="2019-04-01T00:00:00"/>
        <d v="2020-04-02T00:00:00"/>
        <d v="2020-04-04T00:00:00"/>
        <d v="2020-04-05T00:00:00"/>
        <d v="2019-04-10T00:00:00"/>
        <d v="2020-04-11T00:00:00"/>
        <d v="2018-04-12T00:00:00"/>
        <d v="2020-04-13T00:00:00"/>
        <d v="2019-04-13T00:00:00"/>
        <d v="2019-04-14T00:00:00"/>
        <d v="2018-04-14T00:00:00"/>
        <d v="2019-04-16T00:00:00"/>
        <d v="2020-04-17T00:00:00"/>
        <d v="2019-04-17T00:00:00"/>
        <d v="2018-04-18T00:00:00"/>
        <d v="2019-04-18T00:00:00"/>
        <d v="2019-04-19T00:00:00"/>
        <d v="2019-04-20T00:00:00"/>
        <d v="2018-04-21T00:00:00"/>
        <d v="2020-04-21T00:00:00"/>
        <d v="2020-04-22T00:00:00"/>
        <d v="2018-04-23T00:00:00"/>
        <d v="2019-04-25T00:00:00"/>
        <d v="2020-04-26T00:00:00"/>
        <d v="2019-04-26T00:00:00"/>
        <d v="2019-04-29T00:00:00"/>
        <d v="2020-04-29T00:00:00"/>
        <d v="2019-05-01T00:00:00"/>
        <d v="2020-05-01T00:00:00"/>
        <d v="2020-05-03T00:00:00"/>
        <d v="2020-05-04T00:00:00"/>
        <d v="2018-05-05T00:00:00"/>
        <d v="2020-05-05T00:00:00"/>
        <d v="2018-05-06T00:00:00"/>
        <d v="2019-05-06T00:00:00"/>
        <d v="2018-05-08T00:00:00"/>
        <d v="2018-05-09T00:00:00"/>
        <d v="2020-05-10T00:00:00"/>
        <d v="2020-05-13T00:00:00"/>
        <d v="2018-05-14T00:00:00"/>
        <d v="2018-05-15T00:00:00"/>
        <d v="2019-05-17T00:00:00"/>
        <d v="2020-05-17T00:00:00"/>
        <d v="2018-05-18T00:00:00"/>
        <d v="2018-05-19T00:00:00"/>
        <d v="2020-05-22T00:00:00"/>
        <d v="2018-05-23T00:00:00"/>
        <d v="2020-05-24T00:00:00"/>
        <d v="2020-05-26T00:00:00"/>
        <d v="2020-05-27T00:00:00"/>
        <d v="2019-05-28T00:00:00"/>
        <d v="2020-05-30T00:00:00"/>
        <d v="2019-05-30T00:00:00"/>
        <d v="2018-05-30T00:00:00"/>
        <d v="2018-06-02T00:00:00"/>
        <d v="2020-06-04T00:00:00"/>
        <d v="2020-06-06T00:00:00"/>
        <d v="2018-06-08T00:00:00"/>
        <d v="2019-06-09T00:00:00"/>
        <d v="2019-06-12T00:00:00"/>
        <d v="2020-06-15T00:00:00"/>
        <d v="2019-06-15T00:00:00"/>
        <d v="2018-06-15T00:00:00"/>
        <d v="2018-06-16T00:00:00"/>
        <d v="2019-06-16T00:00:00"/>
        <d v="2020-06-17T00:00:00"/>
        <d v="2018-06-17T00:00:00"/>
        <d v="2020-06-19T00:00:00"/>
        <d v="2018-06-20T00:00:00"/>
        <d v="2019-06-21T00:00:00"/>
        <d v="2019-06-24T00:00:00"/>
        <d v="2018-06-25T00:00:00"/>
        <d v="2018-06-26T00:00:00"/>
        <d v="2018-06-27T00:00:00"/>
        <d v="2019-06-28T00:00:00"/>
        <d v="2018-06-29T00:00:00"/>
        <d v="2018-06-30T00:00:00"/>
        <d v="2018-07-03T00:00:00"/>
        <d v="2019-07-04T00:00:00"/>
        <d v="2018-07-05T00:00:00"/>
        <d v="2020-07-05T00:00:00"/>
        <d v="2018-07-06T00:00:00"/>
        <d v="2019-07-06T00:00:00"/>
        <d v="2018-07-09T00:00:00"/>
        <d v="2018-07-10T00:00:00"/>
        <d v="2018-07-11T00:00:00"/>
        <d v="2020-07-11T00:00:00"/>
        <d v="2018-07-12T00:00:00"/>
        <d v="2019-07-13T00:00:00"/>
        <d v="2019-07-15T00:00:00"/>
        <d v="2019-07-16T00:00:00"/>
        <d v="2018-07-17T00:00:00"/>
        <d v="2020-07-18T00:00:00"/>
        <d v="2018-07-18T00:00:00"/>
        <d v="2018-07-19T00:00:00"/>
        <d v="2020-07-20T00:00:00"/>
        <d v="2018-07-21T00:00:00"/>
        <d v="2018-07-23T00:00:00"/>
        <d v="2018-07-25T00:00:00"/>
        <d v="2018-07-27T00:00:00"/>
        <d v="2020-07-28T00:00:00"/>
        <d v="2018-07-28T00:00:00"/>
        <d v="2018-07-30T00:00:00"/>
        <d v="2020-08-02T00:00:00"/>
        <d v="2018-08-05T00:00:00"/>
        <d v="2018-08-06T00:00:00"/>
        <d v="2019-08-06T00:00:00"/>
        <d v="2020-08-09T00:00:00"/>
        <d v="2019-08-09T00:00:00"/>
        <d v="2019-08-10T00:00:00"/>
        <d v="2020-08-10T00:00:00"/>
        <d v="2018-08-11T00:00:00"/>
        <d v="2020-08-12T00:00:00"/>
        <d v="2019-08-12T00:00:00"/>
        <d v="2019-08-15T00:00:00"/>
        <d v="2019-08-16T00:00:00"/>
        <d v="2020-08-16T00:00:00"/>
        <d v="2018-08-18T00:00:00"/>
        <d v="2018-08-20T00:00:00"/>
        <d v="2019-08-20T00:00:00"/>
        <d v="2019-08-21T00:00:00"/>
        <d v="2020-08-22T00:00:00"/>
        <d v="2019-08-22T00:00:00"/>
        <d v="2020-08-23T00:00:00"/>
        <d v="2020-08-25T00:00:00"/>
        <d v="2018-08-26T00:00:00"/>
        <d v="2019-08-26T00:00:00"/>
        <d v="2020-08-27T00:00:00"/>
        <d v="2020-08-31T00:00:00"/>
        <d v="2020-09-02T00:00:00"/>
        <d v="2019-09-04T00:00:00"/>
        <d v="2019-09-05T00:00:00"/>
        <d v="2019-09-06T00:00:00"/>
        <d v="2020-09-07T00:00:00"/>
        <d v="2018-09-08T00:00:00"/>
        <d v="2019-09-09T00:00:00"/>
        <d v="2019-09-10T00:00:00"/>
        <d v="2018-09-11T00:00:00"/>
        <d v="2020-09-12T00:00:00"/>
        <d v="2018-09-13T00:00:00"/>
        <d v="2019-09-15T00:00:00"/>
        <d v="2020-09-16T00:00:00"/>
        <d v="2018-09-17T00:00:00"/>
        <d v="2018-09-18T00:00:00"/>
        <d v="2020-09-18T00:00:00"/>
        <d v="2019-09-19T00:00:00"/>
        <d v="2020-09-22T00:00:00"/>
        <d v="2020-09-24T00:00:00"/>
        <d v="2020-09-25T00:00:00"/>
        <d v="2018-09-25T00:00:00"/>
        <d v="2019-09-26T00:00:00"/>
        <d v="2018-09-26T00:00:00"/>
        <d v="2020-09-27T00:00:00"/>
        <d v="2020-09-28T00:00:00"/>
        <d v="2018-09-28T00:00:00"/>
        <d v="2018-09-29T00:00:00"/>
        <d v="2020-09-29T00:00:00"/>
        <d v="2020-10-01T00:00:00"/>
        <d v="2019-10-02T00:00:00"/>
        <d v="2020-10-02T00:00:00"/>
        <d v="2019-10-06T00:00:00"/>
        <d v="2020-10-07T00:00:00"/>
        <d v="2019-10-09T00:00:00"/>
        <d v="2020-10-10T00:00:00"/>
        <d v="2020-10-12T00:00:00"/>
        <d v="2018-10-13T00:00:00"/>
        <d v="2020-10-15T00:00:00"/>
        <d v="2019-10-15T00:00:00"/>
        <d v="2019-10-16T00:00:00"/>
        <d v="2018-10-16T00:00:00"/>
        <d v="2019-10-17T00:00:00"/>
        <d v="2019-10-18T00:00:00"/>
        <d v="2018-10-18T00:00:00"/>
        <d v="2019-10-20T00:00:00"/>
        <d v="2019-10-22T00:00:00"/>
        <d v="2018-10-23T00:00:00"/>
        <d v="2019-10-25T00:00:00"/>
        <d v="2020-10-26T00:00:00"/>
        <d v="2018-10-26T00:00:00"/>
        <d v="2020-10-27T00:00:00"/>
        <d v="2019-10-27T00:00:00"/>
        <d v="2018-10-28T00:00:00"/>
        <d v="2019-10-28T00:00:00"/>
        <d v="2020-10-31T00:00:00"/>
        <d v="2018-10-31T00:00:00"/>
        <d v="2019-11-01T00:00:00"/>
        <d v="2018-11-01T00:00:00"/>
        <d v="2020-11-01T00:00:00"/>
        <d v="2019-11-02T00:00:00"/>
        <d v="2018-11-02T00:00:00"/>
        <d v="2018-11-03T00:00:00"/>
        <d v="2018-11-04T00:00:00"/>
        <d v="2019-11-05T00:00:00"/>
        <d v="2018-11-07T00:00:00"/>
        <d v="2020-11-07T00:00:00"/>
        <d v="2018-11-09T00:00:00"/>
        <d v="2018-11-10T00:00:00"/>
        <d v="2019-11-11T00:00:00"/>
        <d v="2019-11-12T00:00:00"/>
        <d v="2019-11-13T00:00:00"/>
        <d v="2019-11-15T00:00:00"/>
        <d v="2018-11-16T00:00:00"/>
        <d v="2018-11-17T00:00:00"/>
        <d v="2020-11-17T00:00:00"/>
        <d v="2019-11-19T00:00:00"/>
        <d v="2018-11-19T00:00:00"/>
        <d v="2020-11-21T00:00:00"/>
        <d v="2020-11-22T00:00:00"/>
        <d v="2018-11-22T00:00:00"/>
        <d v="2019-11-23T00:00:00"/>
        <d v="2018-11-23T00:00:00"/>
        <d v="2020-11-24T00:00:00"/>
        <d v="2018-11-24T00:00:00"/>
        <d v="2020-11-25T00:00:00"/>
        <d v="2019-11-25T00:00:00"/>
        <d v="2018-11-25T00:00:00"/>
        <d v="2019-11-28T00:00:00"/>
        <d v="2018-11-29T00:00:00"/>
        <d v="2018-11-30T00:00:00"/>
        <d v="2019-11-30T00:00:00"/>
        <d v="2020-12-01T00:00:00"/>
        <d v="2020-12-02T00:00:00"/>
        <d v="2019-12-02T00:00:00"/>
        <d v="2020-12-03T00:00:00"/>
        <d v="2019-12-04T00:00:00"/>
        <d v="2020-12-04T00:00:00"/>
        <d v="2018-12-05T00:00:00"/>
        <d v="2019-12-05T00:00:00"/>
        <d v="2019-12-06T00:00:00"/>
        <d v="2020-12-09T00:00:00"/>
        <d v="2019-12-10T00:00:00"/>
        <d v="2018-12-10T00:00:00"/>
        <d v="2020-12-11T00:00:00"/>
        <d v="2019-12-12T00:00:00"/>
        <d v="2020-12-12T00:00:00"/>
        <d v="2019-12-13T00:00:00"/>
        <d v="2020-12-13T00:00:00"/>
        <d v="2019-12-14T00:00:00"/>
        <d v="2020-12-15T00:00:00"/>
        <d v="2019-12-16T00:00:00"/>
        <d v="2019-12-17T00:00:00"/>
        <d v="2020-12-18T00:00:00"/>
        <d v="2020-12-19T00:00:00"/>
        <d v="2020-12-20T00:00:00"/>
        <d v="2018-12-20T00:00:00"/>
        <d v="2019-12-21T00:00:00"/>
        <d v="2018-12-22T00:00:00"/>
        <d v="2018-12-23T00:00:00"/>
        <d v="2019-12-23T00:00:00"/>
        <d v="2019-12-24T00:00:00"/>
        <d v="2019-12-25T00:00:00"/>
        <d v="2019-12-28T00:00:00"/>
      </sharedItems>
      <fieldGroup par="10"/>
    </cacheField>
    <cacheField name="Produto" numFmtId="0">
      <sharedItems count="10">
        <s v="Capacete Gometws Endorphine 2.0"/>
        <s v="Bicicleta Gometws Endorphine 7.3"/>
        <s v="Bicicleta Altools Stroll Aro 26"/>
        <s v="Bermuda Predactor 3Xu Pro"/>
        <s v="Bicicleta Gts Advanced 1.0 Aro 29 "/>
        <s v="Bicicleta Gometws Endorphine 6.1"/>
        <s v="Luva De Ciclismo - Gometws Sports"/>
        <s v="Bicicleta Trinc Câmbios Shimano Aro 29"/>
        <s v="Camiseta Predactor 3Xu Multiplied"/>
        <s v="Bicicleta Aro 29 Mountain Bike"/>
      </sharedItems>
    </cacheField>
    <cacheField name="ValorUni" numFmtId="0">
      <sharedItems containsSemiMixedTypes="0" containsString="0" containsNumber="1" containsInteger="1" minValue="115" maxValue="9201"/>
    </cacheField>
    <cacheField name="Quantidade" numFmtId="0">
      <sharedItems containsSemiMixedTypes="0" containsString="0" containsNumber="1" containsInteger="1" minValue="1" maxValue="3"/>
    </cacheField>
    <cacheField name="Receita" numFmtId="0">
      <sharedItems containsSemiMixedTypes="0" containsString="0" containsNumber="1" containsInteger="1" minValue="115" maxValue="27603"/>
    </cacheField>
    <cacheField name="Meses (Data)" numFmtId="0" databaseField="0">
      <fieldGroup base="3">
        <rangePr groupBy="months" startDate="2018-01-03T00:00:00" endDate="2020-12-21T00:00:00"/>
        <groupItems count="14">
          <s v="&lt;03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12/2020"/>
        </groupItems>
      </fieldGroup>
    </cacheField>
    <cacheField name="Trimestres (Data)" numFmtId="0" databaseField="0">
      <fieldGroup base="3">
        <rangePr groupBy="quarters" startDate="2018-01-03T00:00:00" endDate="2020-12-21T00:00:00"/>
        <groupItems count="6">
          <s v="&lt;03/01/2018"/>
          <s v="Trim1"/>
          <s v="Trim2"/>
          <s v="Trim3"/>
          <s v="Trim4"/>
          <s v="&gt;21/12/2020"/>
        </groupItems>
      </fieldGroup>
    </cacheField>
    <cacheField name="Anos (Data)" numFmtId="0" databaseField="0">
      <fieldGroup base="3">
        <rangePr groupBy="years" startDate="2018-01-03T00:00:00" endDate="2020-12-21T00:00:00"/>
        <groupItems count="5">
          <s v="&lt;03/01/2018"/>
          <s v="2018"/>
          <s v="2019"/>
          <s v="2020"/>
          <s v="&gt;21/12/2020"/>
        </groupItems>
      </fieldGroup>
    </cacheField>
  </cacheFields>
  <extLst>
    <ext xmlns:x14="http://schemas.microsoft.com/office/spreadsheetml/2009/9/main" uri="{725AE2AE-9491-48be-B2B4-4EB974FC3084}">
      <x14:pivotCacheDefinition pivotCacheId="687455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x v="0"/>
    <s v="Cosme Zambujal"/>
    <x v="0"/>
    <x v="0"/>
    <n v="155"/>
    <n v="2"/>
    <n v="310"/>
  </r>
  <r>
    <n v="2"/>
    <x v="1"/>
    <s v="Gertrudes Hidalgo"/>
    <x v="1"/>
    <x v="1"/>
    <n v="2966"/>
    <n v="2"/>
    <n v="5932"/>
  </r>
  <r>
    <n v="3"/>
    <x v="2"/>
    <s v="Antão Corte-Real"/>
    <x v="2"/>
    <x v="2"/>
    <n v="9201"/>
    <n v="2"/>
    <n v="18402"/>
  </r>
  <r>
    <n v="4"/>
    <x v="3"/>
    <s v="Alexandra Tabares"/>
    <x v="3"/>
    <x v="1"/>
    <n v="2966"/>
    <n v="2"/>
    <n v="5932"/>
  </r>
  <r>
    <n v="5"/>
    <x v="4"/>
    <s v="Diogo Simón"/>
    <x v="4"/>
    <x v="0"/>
    <n v="155"/>
    <n v="1"/>
    <n v="155"/>
  </r>
  <r>
    <n v="6"/>
    <x v="5"/>
    <s v="Cecília Carlos"/>
    <x v="5"/>
    <x v="2"/>
    <n v="9201"/>
    <n v="3"/>
    <n v="27603"/>
  </r>
  <r>
    <n v="7"/>
    <x v="0"/>
    <s v="Cosme Zambujal"/>
    <x v="6"/>
    <x v="3"/>
    <n v="115"/>
    <n v="3"/>
    <n v="345"/>
  </r>
  <r>
    <n v="8"/>
    <x v="0"/>
    <s v="Gertrudes Infante"/>
    <x v="6"/>
    <x v="4"/>
    <n v="4255"/>
    <n v="2"/>
    <n v="8510"/>
  </r>
  <r>
    <n v="9"/>
    <x v="0"/>
    <s v="Cosme Zambujal"/>
    <x v="7"/>
    <x v="1"/>
    <n v="2966"/>
    <n v="1"/>
    <n v="2966"/>
  </r>
  <r>
    <n v="10"/>
    <x v="0"/>
    <s v="Greice Lameirinhas"/>
    <x v="7"/>
    <x v="3"/>
    <n v="115"/>
    <n v="2"/>
    <n v="230"/>
  </r>
  <r>
    <n v="11"/>
    <x v="0"/>
    <s v="Brígida Gusmão"/>
    <x v="8"/>
    <x v="5"/>
    <n v="2955"/>
    <n v="2"/>
    <n v="5910"/>
  </r>
  <r>
    <n v="12"/>
    <x v="2"/>
    <s v="Antónia Canhão"/>
    <x v="9"/>
    <x v="1"/>
    <n v="2966"/>
    <n v="2"/>
    <n v="5932"/>
  </r>
  <r>
    <n v="13"/>
    <x v="6"/>
    <s v="Elsa Barreto"/>
    <x v="10"/>
    <x v="0"/>
    <n v="155"/>
    <n v="2"/>
    <n v="310"/>
  </r>
  <r>
    <n v="14"/>
    <x v="7"/>
    <s v="Cosme Zambujal"/>
    <x v="11"/>
    <x v="3"/>
    <n v="115"/>
    <n v="2"/>
    <n v="230"/>
  </r>
  <r>
    <n v="15"/>
    <x v="6"/>
    <s v="Joaquim Mieiro"/>
    <x v="12"/>
    <x v="5"/>
    <n v="135"/>
    <n v="1"/>
    <n v="135"/>
  </r>
  <r>
    <n v="16"/>
    <x v="2"/>
    <s v="Gisela Candeias"/>
    <x v="13"/>
    <x v="5"/>
    <n v="2966"/>
    <n v="2"/>
    <n v="5932"/>
  </r>
  <r>
    <n v="17"/>
    <x v="1"/>
    <s v="Cidália Miera"/>
    <x v="14"/>
    <x v="5"/>
    <n v="8852"/>
    <n v="3"/>
    <n v="26556"/>
  </r>
  <r>
    <n v="18"/>
    <x v="1"/>
    <s v="Greice Lameirinhas"/>
    <x v="15"/>
    <x v="5"/>
    <n v="4255"/>
    <n v="3"/>
    <n v="12765"/>
  </r>
  <r>
    <n v="19"/>
    <x v="8"/>
    <s v="Gisela Bahia"/>
    <x v="15"/>
    <x v="6"/>
    <n v="188"/>
    <n v="1"/>
    <n v="188"/>
  </r>
  <r>
    <n v="20"/>
    <x v="5"/>
    <s v="Hermígio Villaverde"/>
    <x v="16"/>
    <x v="2"/>
    <n v="9201"/>
    <n v="3"/>
    <n v="27603"/>
  </r>
  <r>
    <n v="21"/>
    <x v="7"/>
    <s v="Cosme Zambujal"/>
    <x v="17"/>
    <x v="4"/>
    <n v="4255"/>
    <n v="1"/>
    <n v="4255"/>
  </r>
  <r>
    <n v="22"/>
    <x v="9"/>
    <s v="Cecília Carlos"/>
    <x v="18"/>
    <x v="7"/>
    <n v="7658"/>
    <n v="3"/>
    <n v="22974"/>
  </r>
  <r>
    <n v="23"/>
    <x v="9"/>
    <s v="Brenda Serralheiro"/>
    <x v="19"/>
    <x v="3"/>
    <n v="115"/>
    <n v="1"/>
    <n v="115"/>
  </r>
  <r>
    <n v="24"/>
    <x v="0"/>
    <s v="Florinda Assunção"/>
    <x v="20"/>
    <x v="4"/>
    <n v="4255"/>
    <n v="1"/>
    <n v="4255"/>
  </r>
  <r>
    <n v="25"/>
    <x v="9"/>
    <s v="Greice Lameirinhas"/>
    <x v="21"/>
    <x v="1"/>
    <n v="2966"/>
    <n v="2"/>
    <n v="5932"/>
  </r>
  <r>
    <n v="26"/>
    <x v="9"/>
    <s v="Cecília Carlos"/>
    <x v="22"/>
    <x v="1"/>
    <n v="2966"/>
    <n v="1"/>
    <n v="2966"/>
  </r>
  <r>
    <n v="27"/>
    <x v="5"/>
    <s v="Ilduara Chávez"/>
    <x v="22"/>
    <x v="8"/>
    <n v="135"/>
    <n v="3"/>
    <n v="405"/>
  </r>
  <r>
    <n v="28"/>
    <x v="2"/>
    <s v="Gisela Bahia"/>
    <x v="23"/>
    <x v="1"/>
    <n v="2966"/>
    <n v="3"/>
    <n v="8898"/>
  </r>
  <r>
    <n v="29"/>
    <x v="0"/>
    <s v="Cosme Zambujal"/>
    <x v="24"/>
    <x v="2"/>
    <n v="9201"/>
    <n v="1"/>
    <n v="9201"/>
  </r>
  <r>
    <n v="30"/>
    <x v="6"/>
    <s v="Greice Lameirinhas"/>
    <x v="25"/>
    <x v="5"/>
    <n v="2955"/>
    <n v="2"/>
    <n v="5910"/>
  </r>
  <r>
    <n v="31"/>
    <x v="0"/>
    <s v="Joaquim Mieiro"/>
    <x v="26"/>
    <x v="8"/>
    <n v="135"/>
    <n v="1"/>
    <n v="135"/>
  </r>
  <r>
    <n v="32"/>
    <x v="0"/>
    <s v="Cidália Miera"/>
    <x v="27"/>
    <x v="4"/>
    <n v="4255"/>
    <n v="3"/>
    <n v="12765"/>
  </r>
  <r>
    <n v="33"/>
    <x v="0"/>
    <s v="Brígida Gusmão"/>
    <x v="28"/>
    <x v="0"/>
    <n v="155"/>
    <n v="3"/>
    <n v="465"/>
  </r>
  <r>
    <n v="34"/>
    <x v="6"/>
    <s v="Cecília Carlos"/>
    <x v="27"/>
    <x v="0"/>
    <n v="155"/>
    <n v="2"/>
    <n v="310"/>
  </r>
  <r>
    <n v="35"/>
    <x v="0"/>
    <s v="Cosme Zambujal"/>
    <x v="29"/>
    <x v="0"/>
    <n v="155"/>
    <n v="2"/>
    <n v="310"/>
  </r>
  <r>
    <n v="36"/>
    <x v="1"/>
    <s v="Cosme Ipanema"/>
    <x v="30"/>
    <x v="7"/>
    <n v="7658"/>
    <n v="1"/>
    <n v="7658"/>
  </r>
  <r>
    <n v="37"/>
    <x v="1"/>
    <s v="Gisela Candeias"/>
    <x v="31"/>
    <x v="0"/>
    <n v="155"/>
    <n v="3"/>
    <n v="465"/>
  </r>
  <r>
    <n v="38"/>
    <x v="9"/>
    <s v="Cosme Zambujal"/>
    <x v="32"/>
    <x v="5"/>
    <n v="8852"/>
    <n v="3"/>
    <n v="26556"/>
  </r>
  <r>
    <n v="39"/>
    <x v="1"/>
    <s v="Ilduara Chávez"/>
    <x v="32"/>
    <x v="5"/>
    <n v="135"/>
    <n v="3"/>
    <n v="405"/>
  </r>
  <r>
    <n v="40"/>
    <x v="3"/>
    <s v="Antão Corte-Real"/>
    <x v="33"/>
    <x v="5"/>
    <n v="188"/>
    <n v="1"/>
    <n v="188"/>
  </r>
  <r>
    <n v="41"/>
    <x v="9"/>
    <s v="Joaquim Mieiro"/>
    <x v="34"/>
    <x v="5"/>
    <n v="9201"/>
    <n v="3"/>
    <n v="27603"/>
  </r>
  <r>
    <n v="42"/>
    <x v="0"/>
    <s v="Davide Alcántara"/>
    <x v="34"/>
    <x v="1"/>
    <n v="2966"/>
    <n v="1"/>
    <n v="2966"/>
  </r>
  <r>
    <n v="43"/>
    <x v="7"/>
    <s v="Cosme Zambujal"/>
    <x v="35"/>
    <x v="3"/>
    <n v="115"/>
    <n v="1"/>
    <n v="115"/>
  </r>
  <r>
    <n v="44"/>
    <x v="9"/>
    <s v="Cosme Zambujal"/>
    <x v="36"/>
    <x v="6"/>
    <n v="188"/>
    <n v="3"/>
    <n v="564"/>
  </r>
  <r>
    <n v="45"/>
    <x v="0"/>
    <s v="Cosme Zambujal"/>
    <x v="36"/>
    <x v="2"/>
    <n v="9201"/>
    <n v="1"/>
    <n v="9201"/>
  </r>
  <r>
    <n v="46"/>
    <x v="4"/>
    <s v="Cosme Zambujal"/>
    <x v="37"/>
    <x v="4"/>
    <n v="4255"/>
    <n v="1"/>
    <n v="4255"/>
  </r>
  <r>
    <n v="47"/>
    <x v="6"/>
    <s v="Cândida Silvestre"/>
    <x v="38"/>
    <x v="7"/>
    <n v="7658"/>
    <n v="1"/>
    <n v="7658"/>
  </r>
  <r>
    <n v="48"/>
    <x v="8"/>
    <s v="Florinda Assunção"/>
    <x v="39"/>
    <x v="1"/>
    <n v="2966"/>
    <n v="1"/>
    <n v="2966"/>
  </r>
  <r>
    <n v="49"/>
    <x v="6"/>
    <s v="Davide Alcántara"/>
    <x v="40"/>
    <x v="5"/>
    <n v="2955"/>
    <n v="1"/>
    <n v="2955"/>
  </r>
  <r>
    <n v="50"/>
    <x v="1"/>
    <s v="Brígida Gusmão"/>
    <x v="40"/>
    <x v="4"/>
    <n v="4255"/>
    <n v="3"/>
    <n v="12765"/>
  </r>
  <r>
    <n v="51"/>
    <x v="1"/>
    <s v="Joaquim Mieiro"/>
    <x v="41"/>
    <x v="2"/>
    <n v="9201"/>
    <n v="1"/>
    <n v="9201"/>
  </r>
  <r>
    <n v="52"/>
    <x v="7"/>
    <s v="Diogo Simón"/>
    <x v="42"/>
    <x v="6"/>
    <n v="188"/>
    <n v="1"/>
    <n v="188"/>
  </r>
  <r>
    <n v="53"/>
    <x v="2"/>
    <s v="Gertrudes Hidalgo"/>
    <x v="43"/>
    <x v="3"/>
    <n v="115"/>
    <n v="3"/>
    <n v="345"/>
  </r>
  <r>
    <n v="54"/>
    <x v="0"/>
    <s v="Greice Lameirinhas"/>
    <x v="44"/>
    <x v="3"/>
    <n v="115"/>
    <n v="3"/>
    <n v="345"/>
  </r>
  <r>
    <n v="55"/>
    <x v="0"/>
    <s v="Greice Lameirinhas"/>
    <x v="44"/>
    <x v="6"/>
    <n v="188"/>
    <n v="2"/>
    <n v="376"/>
  </r>
  <r>
    <n v="56"/>
    <x v="0"/>
    <s v="Greice Lameirinhas"/>
    <x v="45"/>
    <x v="5"/>
    <n v="2955"/>
    <n v="1"/>
    <n v="2955"/>
  </r>
  <r>
    <n v="57"/>
    <x v="0"/>
    <s v="Cecília Carlos"/>
    <x v="46"/>
    <x v="6"/>
    <n v="188"/>
    <n v="2"/>
    <n v="376"/>
  </r>
  <r>
    <n v="58"/>
    <x v="7"/>
    <s v="Dinarte Marino"/>
    <x v="46"/>
    <x v="4"/>
    <n v="4255"/>
    <n v="3"/>
    <n v="12765"/>
  </r>
  <r>
    <n v="59"/>
    <x v="5"/>
    <s v="Cidália Miera"/>
    <x v="47"/>
    <x v="6"/>
    <n v="188"/>
    <n v="3"/>
    <n v="564"/>
  </r>
  <r>
    <n v="60"/>
    <x v="6"/>
    <s v="Elsa Barreto"/>
    <x v="48"/>
    <x v="4"/>
    <n v="4255"/>
    <n v="2"/>
    <n v="8510"/>
  </r>
  <r>
    <n v="61"/>
    <x v="9"/>
    <s v="Davide Alcántara"/>
    <x v="49"/>
    <x v="3"/>
    <n v="115"/>
    <n v="1"/>
    <n v="115"/>
  </r>
  <r>
    <n v="62"/>
    <x v="8"/>
    <s v="Cosme Zambujal"/>
    <x v="50"/>
    <x v="9"/>
    <n v="8852"/>
    <n v="2"/>
    <n v="17704"/>
  </r>
  <r>
    <n v="63"/>
    <x v="8"/>
    <s v="Cosme Zambujal"/>
    <x v="51"/>
    <x v="3"/>
    <n v="115"/>
    <n v="3"/>
    <n v="345"/>
  </r>
  <r>
    <n v="64"/>
    <x v="2"/>
    <s v="Cosme Zambujal"/>
    <x v="52"/>
    <x v="3"/>
    <n v="115"/>
    <n v="3"/>
    <n v="345"/>
  </r>
  <r>
    <n v="65"/>
    <x v="1"/>
    <s v="Cosme Zambujal"/>
    <x v="53"/>
    <x v="1"/>
    <n v="2966"/>
    <n v="1"/>
    <n v="2966"/>
  </r>
  <r>
    <n v="66"/>
    <x v="1"/>
    <s v="Anna Beça"/>
    <x v="53"/>
    <x v="1"/>
    <n v="2966"/>
    <n v="2"/>
    <n v="5932"/>
  </r>
  <r>
    <n v="67"/>
    <x v="6"/>
    <s v="Gisela Bahia"/>
    <x v="54"/>
    <x v="1"/>
    <n v="2966"/>
    <n v="3"/>
    <n v="8898"/>
  </r>
  <r>
    <n v="68"/>
    <x v="3"/>
    <s v="Antão Corte-Real"/>
    <x v="55"/>
    <x v="1"/>
    <n v="2966"/>
    <n v="3"/>
    <n v="8898"/>
  </r>
  <r>
    <n v="69"/>
    <x v="7"/>
    <s v="Davide Alcántara"/>
    <x v="55"/>
    <x v="1"/>
    <n v="2966"/>
    <n v="1"/>
    <n v="2966"/>
  </r>
  <r>
    <n v="70"/>
    <x v="3"/>
    <s v="Brígida Gusmão"/>
    <x v="56"/>
    <x v="1"/>
    <n v="2966"/>
    <n v="1"/>
    <n v="2966"/>
  </r>
  <r>
    <n v="71"/>
    <x v="7"/>
    <s v="Diogo Simón"/>
    <x v="57"/>
    <x v="1"/>
    <n v="2966"/>
    <n v="1"/>
    <n v="2966"/>
  </r>
  <r>
    <n v="72"/>
    <x v="6"/>
    <s v="Cecília Carlos"/>
    <x v="58"/>
    <x v="1"/>
    <n v="2966"/>
    <n v="2"/>
    <n v="5932"/>
  </r>
  <r>
    <n v="73"/>
    <x v="7"/>
    <s v="Cosme Ipanema"/>
    <x v="58"/>
    <x v="5"/>
    <n v="2955"/>
    <n v="3"/>
    <n v="8865"/>
  </r>
  <r>
    <n v="74"/>
    <x v="2"/>
    <s v="Antónia Canhão"/>
    <x v="58"/>
    <x v="4"/>
    <n v="4255"/>
    <n v="2"/>
    <n v="8510"/>
  </r>
  <r>
    <n v="75"/>
    <x v="8"/>
    <s v="Cosme Zambujal"/>
    <x v="59"/>
    <x v="2"/>
    <n v="9201"/>
    <n v="1"/>
    <n v="9201"/>
  </r>
  <r>
    <n v="76"/>
    <x v="8"/>
    <s v="Greice Lameirinhas"/>
    <x v="60"/>
    <x v="9"/>
    <n v="8852"/>
    <n v="3"/>
    <n v="26556"/>
  </r>
  <r>
    <n v="77"/>
    <x v="9"/>
    <s v="Cosme Ipanema"/>
    <x v="61"/>
    <x v="3"/>
    <n v="115"/>
    <n v="3"/>
    <n v="345"/>
  </r>
  <r>
    <n v="78"/>
    <x v="0"/>
    <s v="Cândida Silvestre"/>
    <x v="61"/>
    <x v="0"/>
    <n v="155"/>
    <n v="1"/>
    <n v="155"/>
  </r>
  <r>
    <n v="79"/>
    <x v="0"/>
    <s v="Diogo Simón"/>
    <x v="61"/>
    <x v="1"/>
    <n v="2966"/>
    <n v="1"/>
    <n v="2966"/>
  </r>
  <r>
    <n v="80"/>
    <x v="0"/>
    <s v="Brenda Serralheiro"/>
    <x v="61"/>
    <x v="5"/>
    <n v="115"/>
    <n v="2"/>
    <n v="230"/>
  </r>
  <r>
    <n v="81"/>
    <x v="0"/>
    <s v="Brígida Gusmão"/>
    <x v="62"/>
    <x v="5"/>
    <n v="135"/>
    <n v="1"/>
    <n v="135"/>
  </r>
  <r>
    <n v="82"/>
    <x v="0"/>
    <s v="Gertrudes Hidalgo"/>
    <x v="63"/>
    <x v="8"/>
    <n v="135"/>
    <n v="1"/>
    <n v="135"/>
  </r>
  <r>
    <n v="83"/>
    <x v="4"/>
    <s v="Brenda Serralheiro"/>
    <x v="64"/>
    <x v="7"/>
    <n v="7658"/>
    <n v="1"/>
    <n v="7658"/>
  </r>
  <r>
    <n v="84"/>
    <x v="5"/>
    <s v="Gisela Candeias"/>
    <x v="65"/>
    <x v="4"/>
    <n v="4255"/>
    <n v="3"/>
    <n v="12765"/>
  </r>
  <r>
    <n v="85"/>
    <x v="1"/>
    <s v="Ilduara Chávez"/>
    <x v="66"/>
    <x v="7"/>
    <n v="7658"/>
    <n v="1"/>
    <n v="7658"/>
  </r>
  <r>
    <n v="86"/>
    <x v="1"/>
    <s v="Gertrudes Hidalgo"/>
    <x v="67"/>
    <x v="6"/>
    <n v="188"/>
    <n v="3"/>
    <n v="564"/>
  </r>
  <r>
    <n v="87"/>
    <x v="1"/>
    <s v="Cosme Zambujal"/>
    <x v="68"/>
    <x v="4"/>
    <n v="4255"/>
    <n v="3"/>
    <n v="12765"/>
  </r>
  <r>
    <n v="88"/>
    <x v="9"/>
    <s v="Cosme Zambujal"/>
    <x v="69"/>
    <x v="0"/>
    <n v="155"/>
    <n v="1"/>
    <n v="155"/>
  </r>
  <r>
    <n v="89"/>
    <x v="2"/>
    <s v="Cosme Zambujal"/>
    <x v="69"/>
    <x v="5"/>
    <n v="2955"/>
    <n v="1"/>
    <n v="2955"/>
  </r>
  <r>
    <n v="90"/>
    <x v="6"/>
    <s v="Cosme Zambujal"/>
    <x v="70"/>
    <x v="9"/>
    <n v="8852"/>
    <n v="2"/>
    <n v="17704"/>
  </r>
  <r>
    <n v="91"/>
    <x v="6"/>
    <s v="Cosme Zambujal"/>
    <x v="71"/>
    <x v="3"/>
    <n v="115"/>
    <n v="3"/>
    <n v="345"/>
  </r>
  <r>
    <n v="92"/>
    <x v="8"/>
    <s v="Cidália Miera"/>
    <x v="72"/>
    <x v="6"/>
    <n v="188"/>
    <n v="1"/>
    <n v="188"/>
  </r>
  <r>
    <n v="93"/>
    <x v="5"/>
    <s v="Gertrudes Infante"/>
    <x v="73"/>
    <x v="8"/>
    <n v="135"/>
    <n v="3"/>
    <n v="405"/>
  </r>
  <r>
    <n v="94"/>
    <x v="4"/>
    <s v="Antão Corte-Real"/>
    <x v="74"/>
    <x v="4"/>
    <n v="4255"/>
    <n v="2"/>
    <n v="8510"/>
  </r>
  <r>
    <n v="95"/>
    <x v="1"/>
    <s v="Davide Alcántara"/>
    <x v="75"/>
    <x v="5"/>
    <n v="2955"/>
    <n v="2"/>
    <n v="5910"/>
  </r>
  <r>
    <n v="96"/>
    <x v="8"/>
    <s v="Anna Beça"/>
    <x v="76"/>
    <x v="5"/>
    <n v="188"/>
    <n v="2"/>
    <n v="376"/>
  </r>
  <r>
    <n v="97"/>
    <x v="1"/>
    <s v="Greice Lameirinhas"/>
    <x v="77"/>
    <x v="5"/>
    <n v="2955"/>
    <n v="2"/>
    <n v="5910"/>
  </r>
  <r>
    <n v="98"/>
    <x v="0"/>
    <s v="Greice Lameirinhas"/>
    <x v="78"/>
    <x v="5"/>
    <n v="8852"/>
    <n v="2"/>
    <n v="17704"/>
  </r>
  <r>
    <n v="99"/>
    <x v="2"/>
    <s v="Greice Lameirinhas"/>
    <x v="79"/>
    <x v="4"/>
    <n v="4255"/>
    <n v="1"/>
    <n v="4255"/>
  </r>
  <r>
    <n v="100"/>
    <x v="9"/>
    <s v="Joaquim Mieiro"/>
    <x v="77"/>
    <x v="5"/>
    <n v="2955"/>
    <n v="1"/>
    <n v="2955"/>
  </r>
  <r>
    <n v="101"/>
    <x v="1"/>
    <s v="Diogo Simón"/>
    <x v="80"/>
    <x v="9"/>
    <n v="8852"/>
    <n v="1"/>
    <n v="8852"/>
  </r>
  <r>
    <n v="102"/>
    <x v="1"/>
    <s v="Belmira Colaço"/>
    <x v="81"/>
    <x v="9"/>
    <n v="8852"/>
    <n v="2"/>
    <n v="17704"/>
  </r>
  <r>
    <n v="103"/>
    <x v="1"/>
    <s v="Cosme Ipanema"/>
    <x v="82"/>
    <x v="0"/>
    <n v="155"/>
    <n v="3"/>
    <n v="465"/>
  </r>
  <r>
    <n v="104"/>
    <x v="3"/>
    <s v="Ilduara Chávez"/>
    <x v="83"/>
    <x v="2"/>
    <n v="9201"/>
    <n v="1"/>
    <n v="9201"/>
  </r>
  <r>
    <n v="105"/>
    <x v="6"/>
    <s v="Cosme Zambujal"/>
    <x v="84"/>
    <x v="2"/>
    <n v="9201"/>
    <n v="1"/>
    <n v="9201"/>
  </r>
  <r>
    <n v="106"/>
    <x v="6"/>
    <s v="Alfredo Cotrim"/>
    <x v="85"/>
    <x v="6"/>
    <n v="188"/>
    <n v="3"/>
    <n v="564"/>
  </r>
  <r>
    <n v="107"/>
    <x v="2"/>
    <s v="Dinarte Marino"/>
    <x v="86"/>
    <x v="1"/>
    <n v="2966"/>
    <n v="2"/>
    <n v="5932"/>
  </r>
  <r>
    <n v="108"/>
    <x v="5"/>
    <s v="Anna Beça"/>
    <x v="87"/>
    <x v="1"/>
    <n v="2966"/>
    <n v="3"/>
    <n v="8898"/>
  </r>
  <r>
    <n v="109"/>
    <x v="8"/>
    <s v="Cosme Ipanema"/>
    <x v="88"/>
    <x v="1"/>
    <n v="2966"/>
    <n v="2"/>
    <n v="5932"/>
  </r>
  <r>
    <n v="110"/>
    <x v="0"/>
    <s v="Antão Corte-Real"/>
    <x v="89"/>
    <x v="1"/>
    <n v="2966"/>
    <n v="3"/>
    <n v="8898"/>
  </r>
  <r>
    <n v="111"/>
    <x v="0"/>
    <s v="Gisela Bahia"/>
    <x v="90"/>
    <x v="1"/>
    <n v="2966"/>
    <n v="1"/>
    <n v="2966"/>
  </r>
  <r>
    <n v="112"/>
    <x v="0"/>
    <s v="Hermígio Villaverde"/>
    <x v="91"/>
    <x v="1"/>
    <n v="2966"/>
    <n v="3"/>
    <n v="8898"/>
  </r>
  <r>
    <n v="113"/>
    <x v="0"/>
    <s v="Hermígio Villaverde"/>
    <x v="92"/>
    <x v="1"/>
    <n v="2966"/>
    <n v="1"/>
    <n v="2966"/>
  </r>
  <r>
    <n v="114"/>
    <x v="3"/>
    <s v="Gisela Bahia"/>
    <x v="93"/>
    <x v="1"/>
    <n v="2966"/>
    <n v="3"/>
    <n v="8898"/>
  </r>
  <r>
    <n v="115"/>
    <x v="8"/>
    <s v="Greice Lameirinhas"/>
    <x v="92"/>
    <x v="1"/>
    <n v="2966"/>
    <n v="3"/>
    <n v="8898"/>
  </r>
  <r>
    <n v="116"/>
    <x v="5"/>
    <s v="Cândida Silvestre"/>
    <x v="94"/>
    <x v="0"/>
    <n v="155"/>
    <n v="1"/>
    <n v="155"/>
  </r>
  <r>
    <n v="117"/>
    <x v="3"/>
    <s v="Brígida Gusmão"/>
    <x v="95"/>
    <x v="5"/>
    <n v="2955"/>
    <n v="1"/>
    <n v="2955"/>
  </r>
  <r>
    <n v="118"/>
    <x v="1"/>
    <s v="Greice Lameirinhas"/>
    <x v="96"/>
    <x v="3"/>
    <n v="115"/>
    <n v="2"/>
    <n v="230"/>
  </r>
  <r>
    <n v="119"/>
    <x v="1"/>
    <s v="Davide Alcántara"/>
    <x v="97"/>
    <x v="8"/>
    <n v="135"/>
    <n v="1"/>
    <n v="135"/>
  </r>
  <r>
    <n v="120"/>
    <x v="2"/>
    <s v="Belmira Colaço"/>
    <x v="98"/>
    <x v="9"/>
    <n v="8852"/>
    <n v="3"/>
    <n v="26556"/>
  </r>
  <r>
    <n v="121"/>
    <x v="1"/>
    <s v="Cosme Zambujal"/>
    <x v="98"/>
    <x v="6"/>
    <n v="188"/>
    <n v="1"/>
    <n v="188"/>
  </r>
  <r>
    <n v="122"/>
    <x v="7"/>
    <s v="Belmira Colaço"/>
    <x v="99"/>
    <x v="6"/>
    <n v="188"/>
    <n v="3"/>
    <n v="564"/>
  </r>
  <r>
    <n v="123"/>
    <x v="5"/>
    <s v="Brígida Gusmão"/>
    <x v="100"/>
    <x v="2"/>
    <n v="9201"/>
    <n v="3"/>
    <n v="27603"/>
  </r>
  <r>
    <n v="124"/>
    <x v="3"/>
    <s v="Greice Lameirinhas"/>
    <x v="101"/>
    <x v="5"/>
    <n v="2955"/>
    <n v="2"/>
    <n v="5910"/>
  </r>
  <r>
    <n v="125"/>
    <x v="6"/>
    <s v="Cecília Carlos"/>
    <x v="102"/>
    <x v="0"/>
    <n v="155"/>
    <n v="3"/>
    <n v="465"/>
  </r>
  <r>
    <n v="126"/>
    <x v="1"/>
    <s v="Davide Alcántara"/>
    <x v="103"/>
    <x v="1"/>
    <n v="2966"/>
    <n v="1"/>
    <n v="2966"/>
  </r>
  <r>
    <n v="127"/>
    <x v="6"/>
    <s v="Greice Lameirinhas"/>
    <x v="104"/>
    <x v="1"/>
    <n v="2966"/>
    <n v="1"/>
    <n v="2966"/>
  </r>
  <r>
    <n v="128"/>
    <x v="4"/>
    <s v="Cosme Ipanema"/>
    <x v="105"/>
    <x v="4"/>
    <n v="4255"/>
    <n v="1"/>
    <n v="4255"/>
  </r>
  <r>
    <n v="129"/>
    <x v="0"/>
    <s v="Florinda Assunção"/>
    <x v="106"/>
    <x v="9"/>
    <n v="8852"/>
    <n v="1"/>
    <n v="8852"/>
  </r>
  <r>
    <n v="130"/>
    <x v="0"/>
    <s v="Hermígio Villaverde"/>
    <x v="106"/>
    <x v="0"/>
    <n v="155"/>
    <n v="3"/>
    <n v="465"/>
  </r>
  <r>
    <n v="131"/>
    <x v="0"/>
    <s v="Hermígio Villaverde"/>
    <x v="107"/>
    <x v="8"/>
    <n v="135"/>
    <n v="2"/>
    <n v="270"/>
  </r>
  <r>
    <n v="132"/>
    <x v="0"/>
    <s v="Hermígio Villaverde"/>
    <x v="108"/>
    <x v="2"/>
    <n v="9201"/>
    <n v="1"/>
    <n v="9201"/>
  </r>
  <r>
    <n v="133"/>
    <x v="7"/>
    <s v="Hermígio Villaverde"/>
    <x v="109"/>
    <x v="5"/>
    <n v="155"/>
    <n v="1"/>
    <n v="155"/>
  </r>
  <r>
    <n v="134"/>
    <x v="3"/>
    <s v="Hermígio Villaverde"/>
    <x v="110"/>
    <x v="5"/>
    <n v="2966"/>
    <n v="3"/>
    <n v="8898"/>
  </r>
  <r>
    <n v="135"/>
    <x v="8"/>
    <s v="Cândida Silvestre"/>
    <x v="110"/>
    <x v="8"/>
    <n v="135"/>
    <n v="2"/>
    <n v="270"/>
  </r>
  <r>
    <n v="136"/>
    <x v="1"/>
    <s v="Alexandra Tabares"/>
    <x v="111"/>
    <x v="6"/>
    <n v="188"/>
    <n v="1"/>
    <n v="188"/>
  </r>
  <r>
    <n v="137"/>
    <x v="1"/>
    <s v="Joaquim Mieiro"/>
    <x v="112"/>
    <x v="5"/>
    <n v="2955"/>
    <n v="2"/>
    <n v="5910"/>
  </r>
  <r>
    <n v="138"/>
    <x v="1"/>
    <s v="Cecília Carlos"/>
    <x v="113"/>
    <x v="4"/>
    <n v="4255"/>
    <n v="2"/>
    <n v="8510"/>
  </r>
  <r>
    <n v="139"/>
    <x v="7"/>
    <s v="Gertrudes Hidalgo"/>
    <x v="114"/>
    <x v="1"/>
    <n v="2966"/>
    <n v="2"/>
    <n v="5932"/>
  </r>
  <r>
    <n v="140"/>
    <x v="9"/>
    <s v="Davide Alcántara"/>
    <x v="115"/>
    <x v="8"/>
    <n v="135"/>
    <n v="3"/>
    <n v="405"/>
  </r>
  <r>
    <n v="141"/>
    <x v="8"/>
    <s v="Gisela Bahia"/>
    <x v="116"/>
    <x v="7"/>
    <n v="7658"/>
    <n v="2"/>
    <n v="15316"/>
  </r>
  <r>
    <n v="142"/>
    <x v="3"/>
    <s v="Gisela Bahia"/>
    <x v="117"/>
    <x v="2"/>
    <n v="9201"/>
    <n v="1"/>
    <n v="9201"/>
  </r>
  <r>
    <n v="143"/>
    <x v="4"/>
    <s v="Davide Alcántara"/>
    <x v="116"/>
    <x v="9"/>
    <n v="8852"/>
    <n v="3"/>
    <n v="26556"/>
  </r>
  <r>
    <n v="144"/>
    <x v="9"/>
    <s v="Greice Lameirinhas"/>
    <x v="118"/>
    <x v="3"/>
    <n v="115"/>
    <n v="2"/>
    <n v="230"/>
  </r>
  <r>
    <n v="145"/>
    <x v="9"/>
    <s v="Greice Lameirinhas"/>
    <x v="119"/>
    <x v="1"/>
    <n v="2966"/>
    <n v="1"/>
    <n v="2966"/>
  </r>
  <r>
    <n v="146"/>
    <x v="8"/>
    <s v="Greice Lameirinhas"/>
    <x v="118"/>
    <x v="1"/>
    <n v="2966"/>
    <n v="3"/>
    <n v="8898"/>
  </r>
  <r>
    <n v="147"/>
    <x v="0"/>
    <s v="Alexandra Tabares"/>
    <x v="120"/>
    <x v="1"/>
    <n v="2966"/>
    <n v="2"/>
    <n v="5932"/>
  </r>
  <r>
    <n v="148"/>
    <x v="0"/>
    <s v="Dinarte Marino"/>
    <x v="121"/>
    <x v="1"/>
    <n v="2966"/>
    <n v="2"/>
    <n v="5932"/>
  </r>
  <r>
    <n v="149"/>
    <x v="0"/>
    <s v="Alfredo Cotrim"/>
    <x v="121"/>
    <x v="1"/>
    <n v="2966"/>
    <n v="2"/>
    <n v="5932"/>
  </r>
  <r>
    <n v="150"/>
    <x v="0"/>
    <s v="Cosme Zambujal"/>
    <x v="122"/>
    <x v="1"/>
    <n v="2966"/>
    <n v="3"/>
    <n v="8898"/>
  </r>
  <r>
    <n v="151"/>
    <x v="3"/>
    <s v="Cosme Zambujal"/>
    <x v="123"/>
    <x v="1"/>
    <n v="2966"/>
    <n v="1"/>
    <n v="2966"/>
  </r>
  <r>
    <n v="152"/>
    <x v="0"/>
    <s v="Cosme Zambujal"/>
    <x v="124"/>
    <x v="1"/>
    <n v="2966"/>
    <n v="1"/>
    <n v="2966"/>
  </r>
  <r>
    <n v="153"/>
    <x v="0"/>
    <s v="Cosme Zambujal"/>
    <x v="124"/>
    <x v="1"/>
    <n v="2966"/>
    <n v="3"/>
    <n v="8898"/>
  </r>
  <r>
    <n v="154"/>
    <x v="7"/>
    <s v="Cosme Zambujal"/>
    <x v="124"/>
    <x v="1"/>
    <n v="2966"/>
    <n v="2"/>
    <n v="5932"/>
  </r>
  <r>
    <n v="155"/>
    <x v="8"/>
    <s v="Cosme Zambujal"/>
    <x v="125"/>
    <x v="5"/>
    <n v="2955"/>
    <n v="2"/>
    <n v="5910"/>
  </r>
  <r>
    <n v="156"/>
    <x v="2"/>
    <s v="Cosme Zambujal"/>
    <x v="126"/>
    <x v="0"/>
    <n v="155"/>
    <n v="1"/>
    <n v="155"/>
  </r>
  <r>
    <n v="157"/>
    <x v="8"/>
    <s v="Cosme Ipanema"/>
    <x v="127"/>
    <x v="6"/>
    <n v="188"/>
    <n v="1"/>
    <n v="188"/>
  </r>
  <r>
    <n v="158"/>
    <x v="1"/>
    <s v="Dinarte Marino"/>
    <x v="128"/>
    <x v="2"/>
    <n v="9201"/>
    <n v="2"/>
    <n v="18402"/>
  </r>
  <r>
    <n v="159"/>
    <x v="0"/>
    <s v="Brígida Gusmão"/>
    <x v="129"/>
    <x v="4"/>
    <n v="4255"/>
    <n v="3"/>
    <n v="12765"/>
  </r>
  <r>
    <n v="160"/>
    <x v="7"/>
    <s v="Joaquim Mieiro"/>
    <x v="129"/>
    <x v="0"/>
    <n v="155"/>
    <n v="1"/>
    <n v="155"/>
  </r>
  <r>
    <n v="161"/>
    <x v="9"/>
    <s v="Gertrudes Infante"/>
    <x v="130"/>
    <x v="3"/>
    <n v="115"/>
    <n v="1"/>
    <n v="115"/>
  </r>
  <r>
    <n v="162"/>
    <x v="5"/>
    <s v="Cosme Ipanema"/>
    <x v="131"/>
    <x v="2"/>
    <n v="9201"/>
    <n v="1"/>
    <n v="9201"/>
  </r>
  <r>
    <n v="163"/>
    <x v="9"/>
    <s v="Florinda Assunção"/>
    <x v="132"/>
    <x v="5"/>
    <n v="7658"/>
    <n v="2"/>
    <n v="15316"/>
  </r>
  <r>
    <n v="164"/>
    <x v="1"/>
    <s v="Joaquim Mieiro"/>
    <x v="133"/>
    <x v="5"/>
    <n v="4255"/>
    <n v="1"/>
    <n v="4255"/>
  </r>
  <r>
    <n v="165"/>
    <x v="1"/>
    <s v="Brígida Gusmão"/>
    <x v="134"/>
    <x v="5"/>
    <n v="2955"/>
    <n v="1"/>
    <n v="2955"/>
  </r>
  <r>
    <n v="166"/>
    <x v="0"/>
    <s v="Brenda Serralheiro"/>
    <x v="135"/>
    <x v="8"/>
    <n v="135"/>
    <n v="1"/>
    <n v="135"/>
  </r>
  <r>
    <n v="167"/>
    <x v="5"/>
    <s v="Diogo Simón"/>
    <x v="135"/>
    <x v="1"/>
    <n v="2966"/>
    <n v="3"/>
    <n v="8898"/>
  </r>
  <r>
    <n v="168"/>
    <x v="7"/>
    <s v="Cândida Silvestre"/>
    <x v="136"/>
    <x v="8"/>
    <n v="135"/>
    <n v="1"/>
    <n v="135"/>
  </r>
  <r>
    <n v="169"/>
    <x v="6"/>
    <s v="Joaquim Mieiro"/>
    <x v="137"/>
    <x v="8"/>
    <n v="135"/>
    <n v="2"/>
    <n v="270"/>
  </r>
  <r>
    <n v="170"/>
    <x v="9"/>
    <s v="Diogo Simón"/>
    <x v="138"/>
    <x v="2"/>
    <n v="9201"/>
    <n v="3"/>
    <n v="27603"/>
  </r>
  <r>
    <n v="171"/>
    <x v="8"/>
    <s v="Dinarte Marino"/>
    <x v="137"/>
    <x v="8"/>
    <n v="135"/>
    <n v="3"/>
    <n v="405"/>
  </r>
  <r>
    <n v="172"/>
    <x v="3"/>
    <s v="Dinarte Marino"/>
    <x v="139"/>
    <x v="7"/>
    <n v="7658"/>
    <n v="1"/>
    <n v="7658"/>
  </r>
  <r>
    <n v="173"/>
    <x v="1"/>
    <s v="Brígida Gusmão"/>
    <x v="140"/>
    <x v="4"/>
    <n v="4255"/>
    <n v="2"/>
    <n v="8510"/>
  </r>
  <r>
    <n v="174"/>
    <x v="4"/>
    <s v="Belmira Colaço"/>
    <x v="141"/>
    <x v="4"/>
    <n v="4255"/>
    <n v="3"/>
    <n v="12765"/>
  </r>
  <r>
    <n v="175"/>
    <x v="1"/>
    <s v="Gertrudes Hidalgo"/>
    <x v="142"/>
    <x v="3"/>
    <n v="115"/>
    <n v="1"/>
    <n v="115"/>
  </r>
  <r>
    <n v="176"/>
    <x v="5"/>
    <s v="Cosme Zambujal"/>
    <x v="143"/>
    <x v="3"/>
    <n v="115"/>
    <n v="3"/>
    <n v="345"/>
  </r>
  <r>
    <n v="177"/>
    <x v="8"/>
    <s v="Ilduara Chávez"/>
    <x v="144"/>
    <x v="6"/>
    <n v="188"/>
    <n v="1"/>
    <n v="188"/>
  </r>
  <r>
    <n v="178"/>
    <x v="0"/>
    <s v="Gisela Bahia"/>
    <x v="145"/>
    <x v="3"/>
    <n v="115"/>
    <n v="1"/>
    <n v="115"/>
  </r>
  <r>
    <n v="179"/>
    <x v="0"/>
    <s v="Cosme Ipanema"/>
    <x v="146"/>
    <x v="7"/>
    <n v="7658"/>
    <n v="2"/>
    <n v="15316"/>
  </r>
  <r>
    <n v="180"/>
    <x v="0"/>
    <s v="Gisela Candeias"/>
    <x v="147"/>
    <x v="2"/>
    <n v="9201"/>
    <n v="3"/>
    <n v="27603"/>
  </r>
  <r>
    <n v="181"/>
    <x v="0"/>
    <s v="Greice Lameirinhas"/>
    <x v="145"/>
    <x v="5"/>
    <n v="2955"/>
    <n v="1"/>
    <n v="2955"/>
  </r>
  <r>
    <n v="182"/>
    <x v="9"/>
    <s v="Greice Lameirinhas"/>
    <x v="148"/>
    <x v="2"/>
    <n v="9201"/>
    <n v="2"/>
    <n v="18402"/>
  </r>
  <r>
    <n v="183"/>
    <x v="1"/>
    <s v="Greice Lameirinhas"/>
    <x v="149"/>
    <x v="7"/>
    <n v="7658"/>
    <n v="2"/>
    <n v="15316"/>
  </r>
  <r>
    <n v="184"/>
    <x v="7"/>
    <s v="Cosme Zambujal"/>
    <x v="150"/>
    <x v="0"/>
    <n v="155"/>
    <n v="1"/>
    <n v="155"/>
  </r>
  <r>
    <n v="185"/>
    <x v="5"/>
    <s v="Dinarte Marino"/>
    <x v="151"/>
    <x v="7"/>
    <n v="7658"/>
    <n v="1"/>
    <n v="7658"/>
  </r>
  <r>
    <n v="186"/>
    <x v="9"/>
    <s v="Gisela Bahia"/>
    <x v="150"/>
    <x v="4"/>
    <n v="4255"/>
    <n v="2"/>
    <n v="8510"/>
  </r>
  <r>
    <n v="187"/>
    <x v="1"/>
    <s v="Cosme Zambujal"/>
    <x v="151"/>
    <x v="3"/>
    <n v="115"/>
    <n v="2"/>
    <n v="230"/>
  </r>
  <r>
    <n v="188"/>
    <x v="2"/>
    <s v="Cosme Zambujal"/>
    <x v="152"/>
    <x v="3"/>
    <n v="115"/>
    <n v="2"/>
    <n v="230"/>
  </r>
  <r>
    <n v="189"/>
    <x v="6"/>
    <s v="Cosme Zambujal"/>
    <x v="153"/>
    <x v="1"/>
    <n v="2966"/>
    <n v="3"/>
    <n v="8898"/>
  </r>
  <r>
    <n v="190"/>
    <x v="3"/>
    <s v="Cosme Zambujal"/>
    <x v="154"/>
    <x v="8"/>
    <n v="135"/>
    <n v="1"/>
    <n v="135"/>
  </r>
  <r>
    <n v="191"/>
    <x v="1"/>
    <s v="Cosme Zambujal"/>
    <x v="155"/>
    <x v="3"/>
    <n v="115"/>
    <n v="1"/>
    <n v="115"/>
  </r>
  <r>
    <n v="192"/>
    <x v="3"/>
    <s v="Gisela Candeias"/>
    <x v="156"/>
    <x v="4"/>
    <n v="4255"/>
    <n v="3"/>
    <n v="12765"/>
  </r>
  <r>
    <n v="193"/>
    <x v="3"/>
    <s v="Florinda Assunção"/>
    <x v="157"/>
    <x v="1"/>
    <n v="2966"/>
    <n v="3"/>
    <n v="8898"/>
  </r>
  <r>
    <n v="194"/>
    <x v="8"/>
    <s v="Greice Lameirinhas"/>
    <x v="158"/>
    <x v="4"/>
    <n v="4255"/>
    <n v="2"/>
    <n v="8510"/>
  </r>
  <r>
    <n v="195"/>
    <x v="2"/>
    <s v="Cidália Miera"/>
    <x v="159"/>
    <x v="4"/>
    <n v="4255"/>
    <n v="1"/>
    <n v="4255"/>
  </r>
  <r>
    <n v="196"/>
    <x v="1"/>
    <s v="Brenda Serralheiro"/>
    <x v="160"/>
    <x v="8"/>
    <n v="135"/>
    <n v="1"/>
    <n v="135"/>
  </r>
  <r>
    <n v="197"/>
    <x v="1"/>
    <s v="Elsa Barreto"/>
    <x v="161"/>
    <x v="1"/>
    <n v="2966"/>
    <n v="1"/>
    <n v="2966"/>
  </r>
  <r>
    <n v="198"/>
    <x v="9"/>
    <s v="Ilduara Chávez"/>
    <x v="162"/>
    <x v="1"/>
    <n v="2966"/>
    <n v="3"/>
    <n v="8898"/>
  </r>
  <r>
    <n v="199"/>
    <x v="3"/>
    <s v="Antónia Canhão"/>
    <x v="163"/>
    <x v="1"/>
    <n v="2966"/>
    <n v="1"/>
    <n v="2966"/>
  </r>
  <r>
    <n v="200"/>
    <x v="7"/>
    <s v="Belmira Colaço"/>
    <x v="164"/>
    <x v="1"/>
    <n v="2966"/>
    <n v="2"/>
    <n v="5932"/>
  </r>
  <r>
    <n v="201"/>
    <x v="9"/>
    <s v="Diogo Simón"/>
    <x v="164"/>
    <x v="1"/>
    <n v="2966"/>
    <n v="3"/>
    <n v="8898"/>
  </r>
  <r>
    <n v="202"/>
    <x v="4"/>
    <s v="Dinarte Marino"/>
    <x v="165"/>
    <x v="1"/>
    <n v="2966"/>
    <n v="3"/>
    <n v="8898"/>
  </r>
  <r>
    <n v="203"/>
    <x v="1"/>
    <s v="Cosme Ipanema"/>
    <x v="166"/>
    <x v="1"/>
    <n v="2966"/>
    <n v="3"/>
    <n v="8898"/>
  </r>
  <r>
    <n v="204"/>
    <x v="5"/>
    <s v="Anna Beça"/>
    <x v="167"/>
    <x v="0"/>
    <n v="155"/>
    <n v="1"/>
    <n v="155"/>
  </r>
  <r>
    <n v="205"/>
    <x v="0"/>
    <s v="Elsa Barreto"/>
    <x v="167"/>
    <x v="9"/>
    <n v="8852"/>
    <n v="3"/>
    <n v="26556"/>
  </r>
  <r>
    <n v="206"/>
    <x v="0"/>
    <s v="Gertrudes Hidalgo"/>
    <x v="166"/>
    <x v="8"/>
    <n v="135"/>
    <n v="3"/>
    <n v="405"/>
  </r>
  <r>
    <n v="207"/>
    <x v="0"/>
    <s v="Dinarte Marino"/>
    <x v="168"/>
    <x v="0"/>
    <n v="155"/>
    <n v="3"/>
    <n v="465"/>
  </r>
  <r>
    <n v="208"/>
    <x v="0"/>
    <s v="Greice Lameirinhas"/>
    <x v="169"/>
    <x v="2"/>
    <n v="9201"/>
    <n v="1"/>
    <n v="9201"/>
  </r>
  <r>
    <n v="209"/>
    <x v="5"/>
    <s v="Antão Corte-Real"/>
    <x v="170"/>
    <x v="4"/>
    <n v="4255"/>
    <n v="1"/>
    <n v="4255"/>
  </r>
  <r>
    <n v="210"/>
    <x v="9"/>
    <s v="Cândida Silvestre"/>
    <x v="171"/>
    <x v="8"/>
    <n v="135"/>
    <n v="3"/>
    <n v="405"/>
  </r>
  <r>
    <n v="211"/>
    <x v="8"/>
    <s v="Antónia Canhão"/>
    <x v="172"/>
    <x v="5"/>
    <n v="2955"/>
    <n v="2"/>
    <n v="5910"/>
  </r>
  <r>
    <n v="212"/>
    <x v="8"/>
    <s v="Greice Lameirinhas"/>
    <x v="173"/>
    <x v="9"/>
    <n v="8852"/>
    <n v="1"/>
    <n v="8852"/>
  </r>
  <r>
    <n v="213"/>
    <x v="8"/>
    <s v="Cândida Silvestre"/>
    <x v="174"/>
    <x v="1"/>
    <n v="2966"/>
    <n v="1"/>
    <n v="2966"/>
  </r>
  <r>
    <n v="214"/>
    <x v="4"/>
    <s v="Hermígio Villaverde"/>
    <x v="175"/>
    <x v="3"/>
    <n v="115"/>
    <n v="3"/>
    <n v="345"/>
  </r>
  <r>
    <n v="215"/>
    <x v="9"/>
    <s v="Hermígio Villaverde"/>
    <x v="175"/>
    <x v="8"/>
    <n v="135"/>
    <n v="2"/>
    <n v="270"/>
  </r>
  <r>
    <n v="216"/>
    <x v="6"/>
    <s v="Cândida Silvestre"/>
    <x v="176"/>
    <x v="0"/>
    <n v="155"/>
    <n v="1"/>
    <n v="155"/>
  </r>
  <r>
    <n v="217"/>
    <x v="0"/>
    <s v="Cecília Carlos"/>
    <x v="177"/>
    <x v="7"/>
    <n v="7658"/>
    <n v="2"/>
    <n v="15316"/>
  </r>
  <r>
    <n v="218"/>
    <x v="6"/>
    <s v="Cosme Zambujal"/>
    <x v="178"/>
    <x v="3"/>
    <n v="115"/>
    <n v="2"/>
    <n v="230"/>
  </r>
  <r>
    <n v="219"/>
    <x v="8"/>
    <s v="Brenda Serralheiro"/>
    <x v="179"/>
    <x v="6"/>
    <n v="188"/>
    <n v="3"/>
    <n v="564"/>
  </r>
  <r>
    <n v="220"/>
    <x v="0"/>
    <s v="Antão Corte-Real"/>
    <x v="180"/>
    <x v="5"/>
    <n v="4255"/>
    <n v="2"/>
    <n v="8510"/>
  </r>
  <r>
    <n v="221"/>
    <x v="6"/>
    <s v="Cosme Zambujal"/>
    <x v="181"/>
    <x v="5"/>
    <n v="2955"/>
    <n v="2"/>
    <n v="5910"/>
  </r>
  <r>
    <n v="222"/>
    <x v="7"/>
    <s v="Hermígio Villaverde"/>
    <x v="182"/>
    <x v="5"/>
    <n v="9201"/>
    <n v="1"/>
    <n v="9201"/>
  </r>
  <r>
    <n v="223"/>
    <x v="5"/>
    <s v="Cidália Miera"/>
    <x v="183"/>
    <x v="6"/>
    <n v="188"/>
    <n v="3"/>
    <n v="564"/>
  </r>
  <r>
    <n v="224"/>
    <x v="8"/>
    <s v="Gertrudes Hidalgo"/>
    <x v="183"/>
    <x v="8"/>
    <n v="135"/>
    <n v="3"/>
    <n v="405"/>
  </r>
  <r>
    <n v="225"/>
    <x v="7"/>
    <s v="Cosme Zambujal"/>
    <x v="184"/>
    <x v="3"/>
    <n v="115"/>
    <n v="2"/>
    <n v="230"/>
  </r>
  <r>
    <n v="226"/>
    <x v="1"/>
    <s v="Greice Lameirinhas"/>
    <x v="185"/>
    <x v="2"/>
    <n v="9201"/>
    <n v="2"/>
    <n v="18402"/>
  </r>
  <r>
    <n v="227"/>
    <x v="1"/>
    <s v="Ilduara Chávez"/>
    <x v="186"/>
    <x v="5"/>
    <n v="2955"/>
    <n v="2"/>
    <n v="5910"/>
  </r>
  <r>
    <n v="228"/>
    <x v="1"/>
    <s v="Cosme Ipanema"/>
    <x v="187"/>
    <x v="1"/>
    <n v="2966"/>
    <n v="1"/>
    <n v="2966"/>
  </r>
  <r>
    <n v="229"/>
    <x v="8"/>
    <s v="Cândida Silvestre"/>
    <x v="188"/>
    <x v="8"/>
    <n v="135"/>
    <n v="3"/>
    <n v="405"/>
  </r>
  <r>
    <n v="230"/>
    <x v="0"/>
    <s v="Gertrudes Hidalgo"/>
    <x v="189"/>
    <x v="8"/>
    <n v="135"/>
    <n v="1"/>
    <n v="135"/>
  </r>
  <r>
    <n v="231"/>
    <x v="0"/>
    <s v="Gertrudes Hidalgo"/>
    <x v="190"/>
    <x v="5"/>
    <n v="2955"/>
    <n v="1"/>
    <n v="2955"/>
  </r>
  <r>
    <n v="232"/>
    <x v="0"/>
    <s v="Cosme Zambujal"/>
    <x v="191"/>
    <x v="1"/>
    <n v="2966"/>
    <n v="1"/>
    <n v="2966"/>
  </r>
  <r>
    <n v="233"/>
    <x v="0"/>
    <s v="Antónia Canhão"/>
    <x v="192"/>
    <x v="0"/>
    <n v="155"/>
    <n v="1"/>
    <n v="155"/>
  </r>
  <r>
    <n v="234"/>
    <x v="9"/>
    <s v="Florinda Assunção"/>
    <x v="193"/>
    <x v="4"/>
    <n v="4255"/>
    <n v="1"/>
    <n v="4255"/>
  </r>
  <r>
    <n v="235"/>
    <x v="2"/>
    <s v="Ilduara Chávez"/>
    <x v="192"/>
    <x v="6"/>
    <n v="188"/>
    <n v="2"/>
    <n v="376"/>
  </r>
  <r>
    <n v="236"/>
    <x v="7"/>
    <s v="Antão Corte-Real"/>
    <x v="194"/>
    <x v="7"/>
    <n v="7658"/>
    <n v="1"/>
    <n v="7658"/>
  </r>
  <r>
    <n v="237"/>
    <x v="9"/>
    <s v="Gertrudes Hidalgo"/>
    <x v="195"/>
    <x v="2"/>
    <n v="9201"/>
    <n v="2"/>
    <n v="18402"/>
  </r>
  <r>
    <n v="238"/>
    <x v="7"/>
    <s v="Gertrudes Hidalgo"/>
    <x v="196"/>
    <x v="6"/>
    <n v="188"/>
    <n v="1"/>
    <n v="188"/>
  </r>
  <r>
    <n v="239"/>
    <x v="3"/>
    <s v="Alfredo Cotrim"/>
    <x v="196"/>
    <x v="8"/>
    <n v="135"/>
    <n v="1"/>
    <n v="135"/>
  </r>
  <r>
    <n v="240"/>
    <x v="1"/>
    <s v="Ilduara Chávez"/>
    <x v="197"/>
    <x v="2"/>
    <n v="9201"/>
    <n v="3"/>
    <n v="27603"/>
  </r>
  <r>
    <n v="241"/>
    <x v="7"/>
    <s v="Dinarte Marino"/>
    <x v="198"/>
    <x v="1"/>
    <n v="2966"/>
    <n v="2"/>
    <n v="5932"/>
  </r>
  <r>
    <n v="242"/>
    <x v="9"/>
    <s v="Cidália Miera"/>
    <x v="198"/>
    <x v="1"/>
    <n v="2966"/>
    <n v="1"/>
    <n v="2966"/>
  </r>
  <r>
    <n v="243"/>
    <x v="3"/>
    <s v="Ilduara Chávez"/>
    <x v="199"/>
    <x v="1"/>
    <n v="2966"/>
    <n v="2"/>
    <n v="5932"/>
  </r>
  <r>
    <n v="244"/>
    <x v="0"/>
    <s v="Gisela Candeias"/>
    <x v="199"/>
    <x v="1"/>
    <n v="2966"/>
    <n v="2"/>
    <n v="5932"/>
  </r>
  <r>
    <n v="245"/>
    <x v="0"/>
    <s v="Cândida Silvestre"/>
    <x v="200"/>
    <x v="1"/>
    <n v="2966"/>
    <n v="2"/>
    <n v="5932"/>
  </r>
  <r>
    <n v="246"/>
    <x v="2"/>
    <s v="Greice Lameirinhas"/>
    <x v="200"/>
    <x v="1"/>
    <n v="2966"/>
    <n v="1"/>
    <n v="2966"/>
  </r>
  <r>
    <n v="247"/>
    <x v="3"/>
    <s v="Gertrudes Hidalgo"/>
    <x v="201"/>
    <x v="1"/>
    <n v="2966"/>
    <n v="3"/>
    <n v="8898"/>
  </r>
  <r>
    <n v="248"/>
    <x v="1"/>
    <s v="Antónia Canhão"/>
    <x v="202"/>
    <x v="1"/>
    <n v="2966"/>
    <n v="2"/>
    <n v="5932"/>
  </r>
  <r>
    <n v="249"/>
    <x v="1"/>
    <s v="Dinarte Marino"/>
    <x v="202"/>
    <x v="8"/>
    <n v="135"/>
    <n v="3"/>
    <n v="405"/>
  </r>
  <r>
    <n v="250"/>
    <x v="0"/>
    <s v="Cidália Miera"/>
    <x v="203"/>
    <x v="2"/>
    <n v="9201"/>
    <n v="1"/>
    <n v="9201"/>
  </r>
  <r>
    <n v="251"/>
    <x v="1"/>
    <s v="Cosme Zambujal"/>
    <x v="204"/>
    <x v="7"/>
    <n v="7658"/>
    <n v="1"/>
    <n v="7658"/>
  </r>
  <r>
    <n v="252"/>
    <x v="7"/>
    <s v="Cosme Zambujal"/>
    <x v="205"/>
    <x v="0"/>
    <n v="155"/>
    <n v="2"/>
    <n v="310"/>
  </r>
  <r>
    <n v="253"/>
    <x v="8"/>
    <s v="Cosme Zambujal"/>
    <x v="206"/>
    <x v="1"/>
    <n v="2966"/>
    <n v="3"/>
    <n v="8898"/>
  </r>
  <r>
    <n v="254"/>
    <x v="7"/>
    <s v="Cosme Zambujal"/>
    <x v="206"/>
    <x v="5"/>
    <n v="2955"/>
    <n v="2"/>
    <n v="5910"/>
  </r>
  <r>
    <n v="255"/>
    <x v="1"/>
    <s v="Cosme Zambujal"/>
    <x v="207"/>
    <x v="1"/>
    <n v="2966"/>
    <n v="3"/>
    <n v="8898"/>
  </r>
  <r>
    <n v="256"/>
    <x v="1"/>
    <s v="Cosme Zambujal"/>
    <x v="208"/>
    <x v="9"/>
    <n v="8852"/>
    <n v="2"/>
    <n v="17704"/>
  </r>
  <r>
    <n v="257"/>
    <x v="8"/>
    <s v="Cosme Zambujal"/>
    <x v="209"/>
    <x v="9"/>
    <n v="8852"/>
    <n v="2"/>
    <n v="17704"/>
  </r>
  <r>
    <n v="258"/>
    <x v="0"/>
    <s v="Cosme Zambujal"/>
    <x v="210"/>
    <x v="3"/>
    <n v="115"/>
    <n v="1"/>
    <n v="115"/>
  </r>
  <r>
    <n v="259"/>
    <x v="0"/>
    <s v="Cosme Zambujal"/>
    <x v="211"/>
    <x v="2"/>
    <n v="9201"/>
    <n v="2"/>
    <n v="18402"/>
  </r>
  <r>
    <n v="260"/>
    <x v="0"/>
    <s v="Cesário Raminhos"/>
    <x v="212"/>
    <x v="0"/>
    <n v="155"/>
    <n v="1"/>
    <n v="155"/>
  </r>
  <r>
    <n v="261"/>
    <x v="0"/>
    <s v="Andreia Carvalhal"/>
    <x v="213"/>
    <x v="0"/>
    <n v="155"/>
    <n v="1"/>
    <n v="155"/>
  </r>
  <r>
    <n v="262"/>
    <x v="7"/>
    <s v="Galindo Bettencourt"/>
    <x v="214"/>
    <x v="4"/>
    <n v="4255"/>
    <n v="1"/>
    <n v="4255"/>
  </r>
  <r>
    <n v="263"/>
    <x v="9"/>
    <s v="Francisco Medina"/>
    <x v="215"/>
    <x v="3"/>
    <n v="115"/>
    <n v="3"/>
    <n v="345"/>
  </r>
  <r>
    <n v="264"/>
    <x v="0"/>
    <s v="Gertrudes Rabello"/>
    <x v="216"/>
    <x v="8"/>
    <n v="135"/>
    <n v="2"/>
    <n v="270"/>
  </r>
  <r>
    <n v="265"/>
    <x v="4"/>
    <s v="Bernardete Águeda"/>
    <x v="216"/>
    <x v="2"/>
    <n v="9201"/>
    <n v="1"/>
    <n v="9201"/>
  </r>
  <r>
    <n v="266"/>
    <x v="5"/>
    <s v="Irani Jaguariúna"/>
    <x v="217"/>
    <x v="9"/>
    <n v="8852"/>
    <n v="1"/>
    <n v="8852"/>
  </r>
  <r>
    <n v="267"/>
    <x v="7"/>
    <s v="Deise Farias"/>
    <x v="218"/>
    <x v="2"/>
    <n v="9201"/>
    <n v="1"/>
    <n v="9201"/>
  </r>
  <r>
    <n v="268"/>
    <x v="0"/>
    <s v="Bruno Perdigão"/>
    <x v="219"/>
    <x v="8"/>
    <n v="135"/>
    <n v="1"/>
    <n v="135"/>
  </r>
  <r>
    <n v="269"/>
    <x v="4"/>
    <s v="Eloi Pereira"/>
    <x v="220"/>
    <x v="5"/>
    <n v="2955"/>
    <n v="3"/>
    <n v="8865"/>
  </r>
  <r>
    <n v="270"/>
    <x v="4"/>
    <s v="Fabiano Bethancout"/>
    <x v="221"/>
    <x v="1"/>
    <n v="2966"/>
    <n v="2"/>
    <n v="5932"/>
  </r>
  <r>
    <n v="271"/>
    <x v="4"/>
    <s v="Eduarda Madureira"/>
    <x v="222"/>
    <x v="5"/>
    <n v="2955"/>
    <n v="2"/>
    <n v="5910"/>
  </r>
  <r>
    <n v="272"/>
    <x v="9"/>
    <s v="Hermígio Cezar"/>
    <x v="223"/>
    <x v="3"/>
    <n v="115"/>
    <n v="3"/>
    <n v="345"/>
  </r>
  <r>
    <n v="273"/>
    <x v="8"/>
    <s v="Carlos Murici"/>
    <x v="224"/>
    <x v="5"/>
    <n v="2955"/>
    <n v="1"/>
    <n v="2955"/>
  </r>
  <r>
    <n v="274"/>
    <x v="8"/>
    <s v="Estêvão Simão"/>
    <x v="225"/>
    <x v="8"/>
    <n v="135"/>
    <n v="3"/>
    <n v="405"/>
  </r>
  <r>
    <n v="275"/>
    <x v="3"/>
    <s v="Basilio Soares"/>
    <x v="226"/>
    <x v="0"/>
    <n v="155"/>
    <n v="2"/>
    <n v="310"/>
  </r>
  <r>
    <n v="276"/>
    <x v="1"/>
    <s v="Aníbal Bastos"/>
    <x v="227"/>
    <x v="4"/>
    <n v="4255"/>
    <n v="3"/>
    <n v="12765"/>
  </r>
  <r>
    <n v="277"/>
    <x v="2"/>
    <s v="Basilio Soares"/>
    <x v="228"/>
    <x v="4"/>
    <n v="4255"/>
    <n v="2"/>
    <n v="8510"/>
  </r>
  <r>
    <n v="278"/>
    <x v="8"/>
    <s v="Dulce Prado"/>
    <x v="229"/>
    <x v="5"/>
    <n v="4255"/>
    <n v="2"/>
    <n v="8510"/>
  </r>
  <r>
    <n v="279"/>
    <x v="5"/>
    <s v="Iraci Alcoforado"/>
    <x v="230"/>
    <x v="5"/>
    <n v="135"/>
    <n v="3"/>
    <n v="405"/>
  </r>
  <r>
    <n v="280"/>
    <x v="5"/>
    <s v="Ifigénia Pires"/>
    <x v="231"/>
    <x v="5"/>
    <n v="2955"/>
    <n v="2"/>
    <n v="5910"/>
  </r>
  <r>
    <n v="281"/>
    <x v="3"/>
    <s v="Greice Lameirinhas"/>
    <x v="232"/>
    <x v="5"/>
    <n v="2955"/>
    <n v="2"/>
    <n v="5910"/>
  </r>
  <r>
    <n v="282"/>
    <x v="1"/>
    <s v="Arcidres Murici"/>
    <x v="233"/>
    <x v="2"/>
    <n v="9201"/>
    <n v="2"/>
    <n v="18402"/>
  </r>
  <r>
    <n v="283"/>
    <x v="1"/>
    <s v="Isabel Meirelles"/>
    <x v="233"/>
    <x v="0"/>
    <n v="155"/>
    <n v="2"/>
    <n v="310"/>
  </r>
  <r>
    <n v="284"/>
    <x v="0"/>
    <s v="Emiliana Villalobos"/>
    <x v="234"/>
    <x v="6"/>
    <n v="188"/>
    <n v="2"/>
    <n v="376"/>
  </r>
  <r>
    <n v="285"/>
    <x v="0"/>
    <s v="Bernardete Querino"/>
    <x v="235"/>
    <x v="3"/>
    <n v="115"/>
    <n v="2"/>
    <n v="230"/>
  </r>
  <r>
    <n v="286"/>
    <x v="0"/>
    <s v="Ester Castanho"/>
    <x v="236"/>
    <x v="2"/>
    <n v="9201"/>
    <n v="3"/>
    <n v="27603"/>
  </r>
  <r>
    <n v="287"/>
    <x v="0"/>
    <s v="Artur Macedo"/>
    <x v="235"/>
    <x v="8"/>
    <n v="135"/>
    <n v="2"/>
    <n v="270"/>
  </r>
  <r>
    <n v="288"/>
    <x v="2"/>
    <s v="Celestino Pereira"/>
    <x v="237"/>
    <x v="8"/>
    <n v="135"/>
    <n v="1"/>
    <n v="135"/>
  </r>
  <r>
    <n v="289"/>
    <x v="8"/>
    <s v="Antero Milheiro"/>
    <x v="238"/>
    <x v="3"/>
    <n v="115"/>
    <n v="2"/>
    <n v="230"/>
  </r>
  <r>
    <n v="290"/>
    <x v="0"/>
    <s v="Cosme Zambujal"/>
    <x v="239"/>
    <x v="6"/>
    <n v="188"/>
    <n v="3"/>
    <n v="564"/>
  </r>
  <r>
    <n v="291"/>
    <x v="7"/>
    <s v="Davide Fraga"/>
    <x v="240"/>
    <x v="5"/>
    <n v="2955"/>
    <n v="3"/>
    <n v="8865"/>
  </r>
  <r>
    <n v="292"/>
    <x v="2"/>
    <s v="Adélio Lisboa"/>
    <x v="241"/>
    <x v="1"/>
    <n v="2966"/>
    <n v="3"/>
    <n v="8898"/>
  </r>
  <r>
    <n v="293"/>
    <x v="5"/>
    <s v="Godinho ou Godim Fogaça"/>
    <x v="242"/>
    <x v="1"/>
    <n v="2966"/>
    <n v="2"/>
    <n v="5932"/>
  </r>
  <r>
    <n v="294"/>
    <x v="9"/>
    <s v="Derli Lozada"/>
    <x v="243"/>
    <x v="1"/>
    <n v="2966"/>
    <n v="2"/>
    <n v="5932"/>
  </r>
  <r>
    <n v="295"/>
    <x v="7"/>
    <s v="Cláudio Jorge"/>
    <x v="244"/>
    <x v="1"/>
    <n v="2966"/>
    <n v="2"/>
    <n v="5932"/>
  </r>
  <r>
    <n v="296"/>
    <x v="3"/>
    <s v="Iracema Rodríguez"/>
    <x v="245"/>
    <x v="1"/>
    <n v="2966"/>
    <n v="1"/>
    <n v="2966"/>
  </r>
  <r>
    <n v="297"/>
    <x v="1"/>
    <s v="Bernardete Tavera"/>
    <x v="246"/>
    <x v="1"/>
    <n v="2966"/>
    <n v="1"/>
    <n v="2966"/>
  </r>
  <r>
    <n v="298"/>
    <x v="3"/>
    <s v="Epaminondas Sousa de Arronches"/>
    <x v="247"/>
    <x v="1"/>
    <n v="2966"/>
    <n v="2"/>
    <n v="5932"/>
  </r>
  <r>
    <n v="299"/>
    <x v="5"/>
    <s v="Evaristo Bahía"/>
    <x v="248"/>
    <x v="1"/>
    <n v="2966"/>
    <n v="2"/>
    <n v="5932"/>
  </r>
  <r>
    <n v="300"/>
    <x v="3"/>
    <s v="Ermelinda Casquero"/>
    <x v="249"/>
    <x v="2"/>
    <n v="9201"/>
    <n v="2"/>
    <n v="18402"/>
  </r>
  <r>
    <n v="301"/>
    <x v="0"/>
    <s v="Cláudio Jorge"/>
    <x v="250"/>
    <x v="7"/>
    <n v="7658"/>
    <n v="3"/>
    <n v="22974"/>
  </r>
  <r>
    <n v="302"/>
    <x v="7"/>
    <s v="Greice Lameirinhas"/>
    <x v="250"/>
    <x v="2"/>
    <n v="9201"/>
    <n v="2"/>
    <n v="18402"/>
  </r>
  <r>
    <n v="303"/>
    <x v="0"/>
    <s v="Iolanda Rabello"/>
    <x v="251"/>
    <x v="8"/>
    <n v="135"/>
    <n v="1"/>
    <n v="135"/>
  </r>
  <r>
    <n v="304"/>
    <x v="6"/>
    <s v="Custódio Rolim"/>
    <x v="252"/>
    <x v="6"/>
    <n v="188"/>
    <n v="2"/>
    <n v="376"/>
  </r>
  <r>
    <n v="305"/>
    <x v="7"/>
    <s v="António Lousado"/>
    <x v="253"/>
    <x v="1"/>
    <n v="2966"/>
    <n v="2"/>
    <n v="5932"/>
  </r>
  <r>
    <n v="306"/>
    <x v="3"/>
    <s v="Aníbal Bastos"/>
    <x v="254"/>
    <x v="1"/>
    <n v="2966"/>
    <n v="3"/>
    <n v="8898"/>
  </r>
  <r>
    <n v="307"/>
    <x v="8"/>
    <s v="Celestino Pereira"/>
    <x v="254"/>
    <x v="0"/>
    <n v="155"/>
    <n v="3"/>
    <n v="465"/>
  </r>
  <r>
    <n v="308"/>
    <x v="1"/>
    <s v="Humberto Vergueiro"/>
    <x v="255"/>
    <x v="7"/>
    <n v="7658"/>
    <n v="3"/>
    <n v="22974"/>
  </r>
  <r>
    <n v="309"/>
    <x v="1"/>
    <s v="Antônio Sobral"/>
    <x v="256"/>
    <x v="7"/>
    <n v="7658"/>
    <n v="1"/>
    <n v="7658"/>
  </r>
  <r>
    <n v="310"/>
    <x v="9"/>
    <s v="Cláudio Lopes"/>
    <x v="257"/>
    <x v="8"/>
    <n v="135"/>
    <n v="1"/>
    <n v="135"/>
  </r>
  <r>
    <n v="311"/>
    <x v="2"/>
    <s v="Dinarte Mangueira"/>
    <x v="258"/>
    <x v="1"/>
    <n v="2966"/>
    <n v="3"/>
    <n v="8898"/>
  </r>
  <r>
    <n v="312"/>
    <x v="9"/>
    <s v="Amadeu Martinho"/>
    <x v="259"/>
    <x v="5"/>
    <n v="2955"/>
    <n v="1"/>
    <n v="2955"/>
  </r>
  <r>
    <n v="313"/>
    <x v="0"/>
    <s v="Anacleto Guterres"/>
    <x v="259"/>
    <x v="6"/>
    <n v="188"/>
    <n v="1"/>
    <n v="188"/>
  </r>
  <r>
    <n v="314"/>
    <x v="0"/>
    <s v="Guilhermina Vilaça"/>
    <x v="260"/>
    <x v="5"/>
    <n v="155"/>
    <n v="3"/>
    <n v="465"/>
  </r>
  <r>
    <n v="315"/>
    <x v="0"/>
    <s v="Greice Lameirinhas"/>
    <x v="261"/>
    <x v="5"/>
    <n v="7658"/>
    <n v="1"/>
    <n v="7658"/>
  </r>
  <r>
    <n v="316"/>
    <x v="0"/>
    <s v="Greice Lameirinhas"/>
    <x v="261"/>
    <x v="5"/>
    <n v="135"/>
    <n v="3"/>
    <n v="405"/>
  </r>
  <r>
    <n v="317"/>
    <x v="0"/>
    <s v="Eloi Vasques"/>
    <x v="262"/>
    <x v="7"/>
    <n v="7658"/>
    <n v="1"/>
    <n v="7658"/>
  </r>
  <r>
    <n v="318"/>
    <x v="0"/>
    <s v="Armindo Castilhos"/>
    <x v="263"/>
    <x v="4"/>
    <n v="4255"/>
    <n v="2"/>
    <n v="8510"/>
  </r>
  <r>
    <n v="319"/>
    <x v="5"/>
    <s v="Flávia Camacho"/>
    <x v="262"/>
    <x v="1"/>
    <n v="2966"/>
    <n v="1"/>
    <n v="2966"/>
  </r>
  <r>
    <n v="320"/>
    <x v="9"/>
    <s v="Guadalupe Rodrigues"/>
    <x v="264"/>
    <x v="7"/>
    <n v="7658"/>
    <n v="1"/>
    <n v="7658"/>
  </r>
  <r>
    <n v="321"/>
    <x v="1"/>
    <s v="Cosme Zambujal"/>
    <x v="265"/>
    <x v="7"/>
    <n v="7658"/>
    <n v="1"/>
    <n v="7658"/>
  </r>
  <r>
    <n v="322"/>
    <x v="5"/>
    <s v="Cosme Zambujal"/>
    <x v="266"/>
    <x v="9"/>
    <n v="8852"/>
    <n v="1"/>
    <n v="8852"/>
  </r>
  <r>
    <n v="323"/>
    <x v="5"/>
    <s v="Cosme Zambujal"/>
    <x v="267"/>
    <x v="0"/>
    <n v="155"/>
    <n v="3"/>
    <n v="465"/>
  </r>
  <r>
    <n v="324"/>
    <x v="4"/>
    <s v="Cosme Zambujal"/>
    <x v="268"/>
    <x v="8"/>
    <n v="135"/>
    <n v="3"/>
    <n v="405"/>
  </r>
  <r>
    <n v="325"/>
    <x v="8"/>
    <s v="Cosme Zambujal"/>
    <x v="269"/>
    <x v="6"/>
    <n v="188"/>
    <n v="3"/>
    <n v="564"/>
  </r>
  <r>
    <n v="326"/>
    <x v="6"/>
    <s v="Cosme Zambujal"/>
    <x v="270"/>
    <x v="1"/>
    <n v="2966"/>
    <n v="2"/>
    <n v="5932"/>
  </r>
  <r>
    <n v="327"/>
    <x v="5"/>
    <s v="Cosme Zambujal"/>
    <x v="271"/>
    <x v="1"/>
    <n v="2966"/>
    <n v="2"/>
    <n v="5932"/>
  </r>
  <r>
    <n v="328"/>
    <x v="7"/>
    <s v="Carminda Dias"/>
    <x v="272"/>
    <x v="1"/>
    <n v="2966"/>
    <n v="1"/>
    <n v="2966"/>
  </r>
  <r>
    <n v="329"/>
    <x v="9"/>
    <s v="Eusébio Mata"/>
    <x v="273"/>
    <x v="1"/>
    <n v="2966"/>
    <n v="2"/>
    <n v="5932"/>
  </r>
  <r>
    <n v="330"/>
    <x v="0"/>
    <s v="Faustino Maranhão"/>
    <x v="273"/>
    <x v="1"/>
    <n v="2966"/>
    <n v="2"/>
    <n v="5932"/>
  </r>
  <r>
    <n v="331"/>
    <x v="0"/>
    <s v="Ana Homem"/>
    <x v="274"/>
    <x v="1"/>
    <n v="2966"/>
    <n v="1"/>
    <n v="2966"/>
  </r>
  <r>
    <n v="332"/>
    <x v="2"/>
    <s v="Dulce Prado"/>
    <x v="275"/>
    <x v="1"/>
    <n v="2966"/>
    <n v="3"/>
    <n v="8898"/>
  </r>
  <r>
    <n v="333"/>
    <x v="7"/>
    <s v="Cássia Guerra"/>
    <x v="276"/>
    <x v="1"/>
    <n v="2966"/>
    <n v="2"/>
    <n v="5932"/>
  </r>
  <r>
    <n v="334"/>
    <x v="3"/>
    <s v="Epaminondas Sousa de Arronches"/>
    <x v="277"/>
    <x v="7"/>
    <n v="7658"/>
    <n v="3"/>
    <n v="22974"/>
  </r>
  <r>
    <n v="335"/>
    <x v="3"/>
    <s v="Dinarte Tabalipa"/>
    <x v="278"/>
    <x v="1"/>
    <n v="2966"/>
    <n v="2"/>
    <n v="5932"/>
  </r>
  <r>
    <n v="336"/>
    <x v="3"/>
    <s v="Adolfo Patrício"/>
    <x v="279"/>
    <x v="6"/>
    <n v="188"/>
    <n v="3"/>
    <n v="564"/>
  </r>
  <r>
    <n v="337"/>
    <x v="1"/>
    <s v="Ifigénia Pires"/>
    <x v="280"/>
    <x v="8"/>
    <n v="135"/>
    <n v="3"/>
    <n v="405"/>
  </r>
  <r>
    <n v="338"/>
    <x v="1"/>
    <s v="Antero Milheiro"/>
    <x v="280"/>
    <x v="2"/>
    <n v="9201"/>
    <n v="1"/>
    <n v="9201"/>
  </r>
  <r>
    <n v="339"/>
    <x v="7"/>
    <s v="Cândido Sousa do Prado"/>
    <x v="281"/>
    <x v="7"/>
    <n v="7658"/>
    <n v="2"/>
    <n v="15316"/>
  </r>
  <r>
    <n v="340"/>
    <x v="3"/>
    <s v="Estela Mattos"/>
    <x v="282"/>
    <x v="5"/>
    <n v="2955"/>
    <n v="3"/>
    <n v="8865"/>
  </r>
  <r>
    <n v="341"/>
    <x v="9"/>
    <s v="Cid Pardo"/>
    <x v="283"/>
    <x v="0"/>
    <n v="155"/>
    <n v="2"/>
    <n v="310"/>
  </r>
  <r>
    <n v="342"/>
    <x v="1"/>
    <s v="Irene Villanueva"/>
    <x v="283"/>
    <x v="9"/>
    <n v="8852"/>
    <n v="3"/>
    <n v="26556"/>
  </r>
  <r>
    <n v="343"/>
    <x v="5"/>
    <s v="Cosme Zambujal"/>
    <x v="284"/>
    <x v="0"/>
    <n v="155"/>
    <n v="2"/>
    <n v="310"/>
  </r>
  <r>
    <n v="344"/>
    <x v="0"/>
    <s v="Cosme Zambujal"/>
    <x v="285"/>
    <x v="0"/>
    <n v="155"/>
    <n v="2"/>
    <n v="310"/>
  </r>
  <r>
    <n v="345"/>
    <x v="0"/>
    <s v="Cosme Zambujal"/>
    <x v="286"/>
    <x v="6"/>
    <n v="188"/>
    <n v="2"/>
    <n v="376"/>
  </r>
  <r>
    <n v="346"/>
    <x v="0"/>
    <s v="Cosme Zambujal"/>
    <x v="286"/>
    <x v="3"/>
    <n v="115"/>
    <n v="2"/>
    <n v="230"/>
  </r>
  <r>
    <n v="347"/>
    <x v="0"/>
    <s v="Cosme Zambujal"/>
    <x v="287"/>
    <x v="5"/>
    <n v="9201"/>
    <n v="2"/>
    <n v="18402"/>
  </r>
  <r>
    <n v="348"/>
    <x v="0"/>
    <s v="Cosme Zambujal"/>
    <x v="288"/>
    <x v="5"/>
    <n v="8852"/>
    <n v="1"/>
    <n v="8852"/>
  </r>
  <r>
    <n v="349"/>
    <x v="8"/>
    <s v="Cosme Zambujal"/>
    <x v="289"/>
    <x v="5"/>
    <n v="9201"/>
    <n v="2"/>
    <n v="18402"/>
  </r>
  <r>
    <n v="350"/>
    <x v="3"/>
    <s v="Cauê Parahyba"/>
    <x v="290"/>
    <x v="5"/>
    <n v="4255"/>
    <n v="2"/>
    <n v="8510"/>
  </r>
  <r>
    <n v="351"/>
    <x v="9"/>
    <s v="Almeno Figueira"/>
    <x v="291"/>
    <x v="0"/>
    <n v="155"/>
    <n v="2"/>
    <n v="310"/>
  </r>
  <r>
    <n v="352"/>
    <x v="5"/>
    <s v="Humberto Almeida"/>
    <x v="292"/>
    <x v="1"/>
    <n v="2966"/>
    <n v="3"/>
    <n v="8898"/>
  </r>
  <r>
    <n v="353"/>
    <x v="6"/>
    <s v="Dinarte Tabares"/>
    <x v="293"/>
    <x v="3"/>
    <n v="115"/>
    <n v="3"/>
    <n v="345"/>
  </r>
  <r>
    <n v="354"/>
    <x v="6"/>
    <s v="Godofredo Quiroga"/>
    <x v="293"/>
    <x v="5"/>
    <n v="2955"/>
    <n v="1"/>
    <n v="2955"/>
  </r>
  <r>
    <n v="355"/>
    <x v="3"/>
    <s v="Adélio Lisboa"/>
    <x v="294"/>
    <x v="3"/>
    <n v="115"/>
    <n v="3"/>
    <n v="345"/>
  </r>
  <r>
    <n v="356"/>
    <x v="2"/>
    <s v="Greice Lameirinhas"/>
    <x v="295"/>
    <x v="9"/>
    <n v="8852"/>
    <n v="1"/>
    <n v="8852"/>
  </r>
  <r>
    <n v="357"/>
    <x v="1"/>
    <s v="Greice Lameirinhas"/>
    <x v="296"/>
    <x v="6"/>
    <n v="188"/>
    <n v="1"/>
    <n v="188"/>
  </r>
  <r>
    <n v="358"/>
    <x v="9"/>
    <s v="Cândido Sousa do Prado"/>
    <x v="297"/>
    <x v="6"/>
    <n v="188"/>
    <n v="1"/>
    <n v="188"/>
  </r>
  <r>
    <n v="359"/>
    <x v="6"/>
    <s v="Israel Canela"/>
    <x v="298"/>
    <x v="3"/>
    <n v="115"/>
    <n v="3"/>
    <n v="345"/>
  </r>
  <r>
    <n v="360"/>
    <x v="0"/>
    <s v="Bernardete Tavera"/>
    <x v="299"/>
    <x v="0"/>
    <n v="155"/>
    <n v="3"/>
    <n v="465"/>
  </r>
  <r>
    <n v="361"/>
    <x v="4"/>
    <s v="Floriano Orriça"/>
    <x v="300"/>
    <x v="1"/>
    <n v="2966"/>
    <n v="1"/>
    <n v="2966"/>
  </r>
  <r>
    <n v="362"/>
    <x v="1"/>
    <s v="Ibijara Botelho"/>
    <x v="298"/>
    <x v="1"/>
    <n v="2966"/>
    <n v="3"/>
    <n v="8898"/>
  </r>
  <r>
    <n v="363"/>
    <x v="3"/>
    <s v="Eládio Froes"/>
    <x v="301"/>
    <x v="1"/>
    <n v="2966"/>
    <n v="2"/>
    <n v="5932"/>
  </r>
  <r>
    <n v="364"/>
    <x v="1"/>
    <s v="Flávia Campos"/>
    <x v="302"/>
    <x v="1"/>
    <n v="2966"/>
    <n v="1"/>
    <n v="2966"/>
  </r>
  <r>
    <n v="365"/>
    <x v="5"/>
    <s v="Artur Macedo"/>
    <x v="303"/>
    <x v="1"/>
    <n v="2966"/>
    <n v="3"/>
    <n v="8898"/>
  </r>
  <r>
    <n v="366"/>
    <x v="1"/>
    <s v="Garibaldo Oleiro"/>
    <x v="304"/>
    <x v="1"/>
    <n v="2966"/>
    <n v="1"/>
    <n v="2966"/>
  </r>
  <r>
    <n v="367"/>
    <x v="1"/>
    <s v="Dinarte Tabalipa"/>
    <x v="305"/>
    <x v="1"/>
    <n v="2966"/>
    <n v="1"/>
    <n v="2966"/>
  </r>
  <r>
    <n v="368"/>
    <x v="7"/>
    <s v="Feliciano Franca"/>
    <x v="306"/>
    <x v="1"/>
    <n v="2966"/>
    <n v="2"/>
    <n v="5932"/>
  </r>
  <r>
    <n v="369"/>
    <x v="7"/>
    <s v="Deise Laureano"/>
    <x v="307"/>
    <x v="1"/>
    <n v="2966"/>
    <n v="1"/>
    <n v="2966"/>
  </r>
  <r>
    <n v="370"/>
    <x v="7"/>
    <s v="Iracema Rodríguez"/>
    <x v="308"/>
    <x v="0"/>
    <n v="155"/>
    <n v="1"/>
    <n v="155"/>
  </r>
  <r>
    <n v="371"/>
    <x v="3"/>
    <s v="Floriano Siebra"/>
    <x v="309"/>
    <x v="7"/>
    <n v="7658"/>
    <n v="2"/>
    <n v="15316"/>
  </r>
  <r>
    <n v="372"/>
    <x v="0"/>
    <s v="Jacinto Dorneles"/>
    <x v="310"/>
    <x v="5"/>
    <n v="2955"/>
    <n v="3"/>
    <n v="8865"/>
  </r>
  <r>
    <n v="373"/>
    <x v="0"/>
    <s v="Carminda Alcaide"/>
    <x v="311"/>
    <x v="3"/>
    <n v="115"/>
    <n v="3"/>
    <n v="345"/>
  </r>
  <r>
    <n v="374"/>
    <x v="0"/>
    <s v="Greice Lameirinhas"/>
    <x v="312"/>
    <x v="6"/>
    <n v="188"/>
    <n v="2"/>
    <n v="376"/>
  </r>
  <r>
    <n v="375"/>
    <x v="0"/>
    <s v="Greice Lameirinhas"/>
    <x v="313"/>
    <x v="1"/>
    <n v="2966"/>
    <n v="3"/>
    <n v="8898"/>
  </r>
  <r>
    <n v="376"/>
    <x v="2"/>
    <s v="Greice Lameirinhas"/>
    <x v="314"/>
    <x v="4"/>
    <n v="4255"/>
    <n v="1"/>
    <n v="4255"/>
  </r>
  <r>
    <n v="377"/>
    <x v="5"/>
    <s v="Greice Lameirinhas"/>
    <x v="315"/>
    <x v="7"/>
    <n v="7658"/>
    <n v="1"/>
    <n v="7658"/>
  </r>
  <r>
    <n v="378"/>
    <x v="4"/>
    <s v="Alarico Quinterno"/>
    <x v="316"/>
    <x v="1"/>
    <n v="2966"/>
    <n v="3"/>
    <n v="8898"/>
  </r>
  <r>
    <n v="379"/>
    <x v="2"/>
    <s v="Celestino Pereira"/>
    <x v="317"/>
    <x v="7"/>
    <n v="7658"/>
    <n v="2"/>
    <n v="15316"/>
  </r>
  <r>
    <n v="380"/>
    <x v="5"/>
    <s v="Humberto Lemes"/>
    <x v="318"/>
    <x v="4"/>
    <n v="4255"/>
    <n v="1"/>
    <n v="4255"/>
  </r>
  <r>
    <n v="381"/>
    <x v="6"/>
    <s v="Guida Beiriz"/>
    <x v="319"/>
    <x v="4"/>
    <n v="4255"/>
    <n v="2"/>
    <n v="8510"/>
  </r>
  <r>
    <n v="382"/>
    <x v="2"/>
    <s v="Adelina Buenaventura"/>
    <x v="320"/>
    <x v="7"/>
    <n v="7658"/>
    <n v="2"/>
    <n v="15316"/>
  </r>
  <r>
    <n v="383"/>
    <x v="2"/>
    <s v="Greice Lameirinhas"/>
    <x v="321"/>
    <x v="2"/>
    <n v="9201"/>
    <n v="1"/>
    <n v="9201"/>
  </r>
  <r>
    <n v="384"/>
    <x v="8"/>
    <s v="Davide Fraga"/>
    <x v="322"/>
    <x v="0"/>
    <n v="155"/>
    <n v="2"/>
    <n v="310"/>
  </r>
  <r>
    <n v="385"/>
    <x v="3"/>
    <s v="Bárbara Magalhães"/>
    <x v="323"/>
    <x v="6"/>
    <n v="188"/>
    <n v="2"/>
    <n v="376"/>
  </r>
  <r>
    <n v="386"/>
    <x v="4"/>
    <s v="Greice Lameirinhas"/>
    <x v="324"/>
    <x v="1"/>
    <n v="2966"/>
    <n v="2"/>
    <n v="5932"/>
  </r>
  <r>
    <n v="387"/>
    <x v="4"/>
    <s v="Faustino Maranhão"/>
    <x v="325"/>
    <x v="9"/>
    <n v="8852"/>
    <n v="3"/>
    <n v="26556"/>
  </r>
  <r>
    <n v="388"/>
    <x v="4"/>
    <s v="Dulce Prado"/>
    <x v="326"/>
    <x v="5"/>
    <n v="2955"/>
    <n v="2"/>
    <n v="5910"/>
  </r>
  <r>
    <n v="389"/>
    <x v="4"/>
    <s v="Eusébio Bairros"/>
    <x v="327"/>
    <x v="8"/>
    <n v="135"/>
    <n v="2"/>
    <n v="270"/>
  </r>
  <r>
    <n v="390"/>
    <x v="2"/>
    <s v="Cosme Zambujal"/>
    <x v="328"/>
    <x v="1"/>
    <n v="2966"/>
    <n v="2"/>
    <n v="5932"/>
  </r>
  <r>
    <n v="391"/>
    <x v="8"/>
    <s v="Cosme Zambujal"/>
    <x v="329"/>
    <x v="1"/>
    <n v="2966"/>
    <n v="2"/>
    <n v="5932"/>
  </r>
  <r>
    <n v="392"/>
    <x v="5"/>
    <s v="Cosme Zambujal"/>
    <x v="329"/>
    <x v="1"/>
    <n v="2966"/>
    <n v="3"/>
    <n v="8898"/>
  </r>
  <r>
    <n v="393"/>
    <x v="6"/>
    <s v="Cosme Zambujal"/>
    <x v="330"/>
    <x v="1"/>
    <n v="2966"/>
    <n v="1"/>
    <n v="2966"/>
  </r>
  <r>
    <n v="394"/>
    <x v="1"/>
    <s v="Cosme Zambujal"/>
    <x v="330"/>
    <x v="1"/>
    <n v="2966"/>
    <n v="3"/>
    <n v="8898"/>
  </r>
  <r>
    <n v="395"/>
    <x v="1"/>
    <s v="Cosme Zambujal"/>
    <x v="331"/>
    <x v="1"/>
    <n v="2966"/>
    <n v="1"/>
    <n v="2966"/>
  </r>
  <r>
    <n v="396"/>
    <x v="0"/>
    <s v="Cosme Zambujal"/>
    <x v="332"/>
    <x v="1"/>
    <n v="2966"/>
    <n v="1"/>
    <n v="2966"/>
  </r>
  <r>
    <n v="397"/>
    <x v="0"/>
    <s v="Cosme Zambujal"/>
    <x v="333"/>
    <x v="1"/>
    <n v="2966"/>
    <n v="3"/>
    <n v="8898"/>
  </r>
  <r>
    <n v="398"/>
    <x v="0"/>
    <s v="Iraci Alcoforado"/>
    <x v="334"/>
    <x v="5"/>
    <n v="2955"/>
    <n v="1"/>
    <n v="2955"/>
  </r>
  <r>
    <n v="399"/>
    <x v="0"/>
    <s v="Capitolina Ruela"/>
    <x v="335"/>
    <x v="0"/>
    <n v="155"/>
    <n v="1"/>
    <n v="155"/>
  </r>
  <r>
    <n v="400"/>
    <x v="1"/>
    <s v="Humberto Almeida"/>
    <x v="336"/>
    <x v="1"/>
    <n v="2966"/>
    <n v="3"/>
    <n v="88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D9DC1-D30F-46AB-BA63-E5CFB8885F91}" name="Tabela dinâmica2" cacheId="25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12" firstHeaderRow="1" firstDataRow="1" firstDataCol="1"/>
  <pivotFields count="11">
    <pivotField showAll="0"/>
    <pivotField axis="axisRow" showAll="0">
      <items count="11">
        <item x="0"/>
        <item x="9"/>
        <item x="7"/>
        <item x="6"/>
        <item x="3"/>
        <item x="1"/>
        <item x="2"/>
        <item x="4"/>
        <item x="5"/>
        <item x="8"/>
        <item t="default"/>
      </items>
    </pivotField>
    <pivotField showAll="0"/>
    <pivotField showAll="0">
      <items count="338">
        <item x="4"/>
        <item x="9"/>
        <item x="12"/>
        <item x="16"/>
        <item x="19"/>
        <item x="22"/>
        <item x="24"/>
        <item x="26"/>
        <item x="31"/>
        <item x="34"/>
        <item x="39"/>
        <item x="43"/>
        <item x="44"/>
        <item x="48"/>
        <item x="50"/>
        <item x="51"/>
        <item x="63"/>
        <item x="65"/>
        <item x="69"/>
        <item x="73"/>
        <item x="75"/>
        <item x="79"/>
        <item x="81"/>
        <item x="83"/>
        <item x="84"/>
        <item x="91"/>
        <item x="95"/>
        <item x="99"/>
        <item x="103"/>
        <item x="106"/>
        <item x="116"/>
        <item x="118"/>
        <item x="120"/>
        <item x="121"/>
        <item x="124"/>
        <item x="125"/>
        <item x="128"/>
        <item x="129"/>
        <item x="131"/>
        <item x="138"/>
        <item x="139"/>
        <item x="142"/>
        <item x="147"/>
        <item x="148"/>
        <item x="151"/>
        <item x="153"/>
        <item x="156"/>
        <item x="157"/>
        <item x="158"/>
        <item x="160"/>
        <item x="161"/>
        <item x="162"/>
        <item x="164"/>
        <item x="166"/>
        <item x="168"/>
        <item x="169"/>
        <item x="170"/>
        <item x="172"/>
        <item x="176"/>
        <item x="178"/>
        <item x="179"/>
        <item x="181"/>
        <item x="182"/>
        <item x="183"/>
        <item x="184"/>
        <item x="186"/>
        <item x="187"/>
        <item x="189"/>
        <item x="190"/>
        <item x="196"/>
        <item x="202"/>
        <item x="203"/>
        <item x="210"/>
        <item x="219"/>
        <item x="222"/>
        <item x="224"/>
        <item x="227"/>
        <item x="228"/>
        <item x="234"/>
        <item x="236"/>
        <item x="239"/>
        <item x="240"/>
        <item x="250"/>
        <item x="254"/>
        <item x="257"/>
        <item x="260"/>
        <item x="263"/>
        <item x="266"/>
        <item x="269"/>
        <item x="271"/>
        <item x="274"/>
        <item x="275"/>
        <item x="276"/>
        <item x="278"/>
        <item x="280"/>
        <item x="281"/>
        <item x="286"/>
        <item x="287"/>
        <item x="290"/>
        <item x="293"/>
        <item x="295"/>
        <item x="297"/>
        <item x="300"/>
        <item x="302"/>
        <item x="303"/>
        <item x="311"/>
        <item x="316"/>
        <item x="329"/>
        <item x="331"/>
        <item x="332"/>
        <item x="0"/>
        <item x="3"/>
        <item x="6"/>
        <item x="8"/>
        <item x="10"/>
        <item x="14"/>
        <item x="15"/>
        <item x="17"/>
        <item x="20"/>
        <item x="21"/>
        <item x="25"/>
        <item x="28"/>
        <item x="30"/>
        <item x="33"/>
        <item x="35"/>
        <item x="36"/>
        <item x="37"/>
        <item x="41"/>
        <item x="42"/>
        <item x="49"/>
        <item x="53"/>
        <item x="55"/>
        <item x="58"/>
        <item x="59"/>
        <item x="60"/>
        <item x="61"/>
        <item x="64"/>
        <item x="67"/>
        <item x="68"/>
        <item x="71"/>
        <item x="74"/>
        <item x="76"/>
        <item x="77"/>
        <item x="82"/>
        <item x="85"/>
        <item x="89"/>
        <item x="93"/>
        <item x="94"/>
        <item x="96"/>
        <item x="98"/>
        <item x="100"/>
        <item x="101"/>
        <item x="102"/>
        <item x="107"/>
        <item x="109"/>
        <item x="110"/>
        <item x="112"/>
        <item x="119"/>
        <item x="126"/>
        <item x="135"/>
        <item x="137"/>
        <item x="143"/>
        <item x="144"/>
        <item x="146"/>
        <item x="149"/>
        <item x="154"/>
        <item x="155"/>
        <item x="159"/>
        <item x="163"/>
        <item x="167"/>
        <item x="173"/>
        <item x="174"/>
        <item x="175"/>
        <item x="191"/>
        <item x="193"/>
        <item x="194"/>
        <item x="198"/>
        <item x="199"/>
        <item x="200"/>
        <item x="204"/>
        <item x="205"/>
        <item x="207"/>
        <item x="211"/>
        <item x="215"/>
        <item x="216"/>
        <item x="217"/>
        <item x="220"/>
        <item x="221"/>
        <item x="225"/>
        <item x="230"/>
        <item x="235"/>
        <item x="243"/>
        <item x="245"/>
        <item x="247"/>
        <item x="252"/>
        <item x="253"/>
        <item x="255"/>
        <item x="256"/>
        <item x="258"/>
        <item x="259"/>
        <item x="261"/>
        <item x="265"/>
        <item x="267"/>
        <item x="270"/>
        <item x="273"/>
        <item x="277"/>
        <item x="282"/>
        <item x="283"/>
        <item x="284"/>
        <item x="285"/>
        <item x="289"/>
        <item x="294"/>
        <item x="299"/>
        <item x="301"/>
        <item x="304"/>
        <item x="307"/>
        <item x="309"/>
        <item x="312"/>
        <item x="313"/>
        <item x="315"/>
        <item x="318"/>
        <item x="320"/>
        <item x="322"/>
        <item x="324"/>
        <item x="325"/>
        <item x="330"/>
        <item x="333"/>
        <item x="334"/>
        <item x="335"/>
        <item x="336"/>
        <item x="1"/>
        <item x="2"/>
        <item x="5"/>
        <item x="7"/>
        <item x="11"/>
        <item x="13"/>
        <item x="18"/>
        <item x="23"/>
        <item x="27"/>
        <item x="29"/>
        <item x="32"/>
        <item x="38"/>
        <item x="40"/>
        <item x="45"/>
        <item x="46"/>
        <item x="47"/>
        <item x="52"/>
        <item x="54"/>
        <item x="56"/>
        <item x="57"/>
        <item x="62"/>
        <item x="66"/>
        <item x="70"/>
        <item x="72"/>
        <item x="78"/>
        <item x="80"/>
        <item x="86"/>
        <item x="87"/>
        <item x="88"/>
        <item x="90"/>
        <item x="92"/>
        <item x="97"/>
        <item x="104"/>
        <item x="105"/>
        <item x="108"/>
        <item x="111"/>
        <item x="113"/>
        <item x="114"/>
        <item x="115"/>
        <item x="117"/>
        <item x="122"/>
        <item x="123"/>
        <item x="127"/>
        <item x="130"/>
        <item x="132"/>
        <item x="133"/>
        <item x="134"/>
        <item x="136"/>
        <item x="140"/>
        <item x="141"/>
        <item x="145"/>
        <item x="150"/>
        <item x="152"/>
        <item x="165"/>
        <item x="171"/>
        <item x="177"/>
        <item x="180"/>
        <item x="185"/>
        <item x="188"/>
        <item x="192"/>
        <item x="195"/>
        <item x="197"/>
        <item x="201"/>
        <item x="206"/>
        <item x="208"/>
        <item x="209"/>
        <item x="212"/>
        <item x="213"/>
        <item x="214"/>
        <item x="218"/>
        <item x="223"/>
        <item x="226"/>
        <item x="229"/>
        <item x="231"/>
        <item x="232"/>
        <item x="233"/>
        <item x="237"/>
        <item x="238"/>
        <item x="241"/>
        <item x="242"/>
        <item x="244"/>
        <item x="246"/>
        <item x="248"/>
        <item x="249"/>
        <item x="251"/>
        <item x="262"/>
        <item x="264"/>
        <item x="268"/>
        <item x="272"/>
        <item x="279"/>
        <item x="288"/>
        <item x="291"/>
        <item x="292"/>
        <item x="296"/>
        <item x="298"/>
        <item x="305"/>
        <item x="306"/>
        <item x="308"/>
        <item x="310"/>
        <item x="314"/>
        <item x="317"/>
        <item x="319"/>
        <item x="321"/>
        <item x="323"/>
        <item x="326"/>
        <item x="327"/>
        <item x="328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Receita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AEE4C-892C-45E8-B3A7-5757C9048819}" name="Tabela dinâmica1" cacheId="25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 fieldListSortAscending="1">
  <location ref="D1:E12" firstHeaderRow="1" firstDataRow="1" firstDataCol="1"/>
  <pivotFields count="11">
    <pivotField showAll="0"/>
    <pivotField showAll="0"/>
    <pivotField showAll="0"/>
    <pivotField showAll="0">
      <items count="338">
        <item x="4"/>
        <item x="9"/>
        <item x="12"/>
        <item x="16"/>
        <item x="19"/>
        <item x="22"/>
        <item x="24"/>
        <item x="26"/>
        <item x="31"/>
        <item x="34"/>
        <item x="39"/>
        <item x="43"/>
        <item x="44"/>
        <item x="48"/>
        <item x="50"/>
        <item x="51"/>
        <item x="63"/>
        <item x="65"/>
        <item x="69"/>
        <item x="73"/>
        <item x="75"/>
        <item x="79"/>
        <item x="81"/>
        <item x="83"/>
        <item x="84"/>
        <item x="91"/>
        <item x="95"/>
        <item x="99"/>
        <item x="103"/>
        <item x="106"/>
        <item x="116"/>
        <item x="118"/>
        <item x="120"/>
        <item x="121"/>
        <item x="124"/>
        <item x="125"/>
        <item x="128"/>
        <item x="129"/>
        <item x="131"/>
        <item x="138"/>
        <item x="139"/>
        <item x="142"/>
        <item x="147"/>
        <item x="148"/>
        <item x="151"/>
        <item x="153"/>
        <item x="156"/>
        <item x="157"/>
        <item x="158"/>
        <item x="160"/>
        <item x="161"/>
        <item x="162"/>
        <item x="164"/>
        <item x="166"/>
        <item x="168"/>
        <item x="169"/>
        <item x="170"/>
        <item x="172"/>
        <item x="176"/>
        <item x="178"/>
        <item x="179"/>
        <item x="181"/>
        <item x="182"/>
        <item x="183"/>
        <item x="184"/>
        <item x="186"/>
        <item x="187"/>
        <item x="189"/>
        <item x="190"/>
        <item x="196"/>
        <item x="202"/>
        <item x="203"/>
        <item x="210"/>
        <item x="219"/>
        <item x="222"/>
        <item x="224"/>
        <item x="227"/>
        <item x="228"/>
        <item x="234"/>
        <item x="236"/>
        <item x="239"/>
        <item x="240"/>
        <item x="250"/>
        <item x="254"/>
        <item x="257"/>
        <item x="260"/>
        <item x="263"/>
        <item x="266"/>
        <item x="269"/>
        <item x="271"/>
        <item x="274"/>
        <item x="275"/>
        <item x="276"/>
        <item x="278"/>
        <item x="280"/>
        <item x="281"/>
        <item x="286"/>
        <item x="287"/>
        <item x="290"/>
        <item x="293"/>
        <item x="295"/>
        <item x="297"/>
        <item x="300"/>
        <item x="302"/>
        <item x="303"/>
        <item x="311"/>
        <item x="316"/>
        <item x="329"/>
        <item x="331"/>
        <item x="332"/>
        <item x="0"/>
        <item x="3"/>
        <item x="6"/>
        <item x="8"/>
        <item x="10"/>
        <item x="14"/>
        <item x="15"/>
        <item x="17"/>
        <item x="20"/>
        <item x="21"/>
        <item x="25"/>
        <item x="28"/>
        <item x="30"/>
        <item x="33"/>
        <item x="35"/>
        <item x="36"/>
        <item x="37"/>
        <item x="41"/>
        <item x="42"/>
        <item x="49"/>
        <item x="53"/>
        <item x="55"/>
        <item x="58"/>
        <item x="59"/>
        <item x="60"/>
        <item x="61"/>
        <item x="64"/>
        <item x="67"/>
        <item x="68"/>
        <item x="71"/>
        <item x="74"/>
        <item x="76"/>
        <item x="77"/>
        <item x="82"/>
        <item x="85"/>
        <item x="89"/>
        <item x="93"/>
        <item x="94"/>
        <item x="96"/>
        <item x="98"/>
        <item x="100"/>
        <item x="101"/>
        <item x="102"/>
        <item x="107"/>
        <item x="109"/>
        <item x="110"/>
        <item x="112"/>
        <item x="119"/>
        <item x="126"/>
        <item x="135"/>
        <item x="137"/>
        <item x="143"/>
        <item x="144"/>
        <item x="146"/>
        <item x="149"/>
        <item x="154"/>
        <item x="155"/>
        <item x="159"/>
        <item x="163"/>
        <item x="167"/>
        <item x="173"/>
        <item x="174"/>
        <item x="175"/>
        <item x="191"/>
        <item x="193"/>
        <item x="194"/>
        <item x="198"/>
        <item x="199"/>
        <item x="200"/>
        <item x="204"/>
        <item x="205"/>
        <item x="207"/>
        <item x="211"/>
        <item x="215"/>
        <item x="216"/>
        <item x="217"/>
        <item x="220"/>
        <item x="221"/>
        <item x="225"/>
        <item x="230"/>
        <item x="235"/>
        <item x="243"/>
        <item x="245"/>
        <item x="247"/>
        <item x="252"/>
        <item x="253"/>
        <item x="255"/>
        <item x="256"/>
        <item x="258"/>
        <item x="259"/>
        <item x="261"/>
        <item x="265"/>
        <item x="267"/>
        <item x="270"/>
        <item x="273"/>
        <item x="277"/>
        <item x="282"/>
        <item x="283"/>
        <item x="284"/>
        <item x="285"/>
        <item x="289"/>
        <item x="294"/>
        <item x="299"/>
        <item x="301"/>
        <item x="304"/>
        <item x="307"/>
        <item x="309"/>
        <item x="312"/>
        <item x="313"/>
        <item x="315"/>
        <item x="318"/>
        <item x="320"/>
        <item x="322"/>
        <item x="324"/>
        <item x="325"/>
        <item x="330"/>
        <item x="333"/>
        <item x="334"/>
        <item x="335"/>
        <item x="336"/>
        <item x="1"/>
        <item x="2"/>
        <item x="5"/>
        <item x="7"/>
        <item x="11"/>
        <item x="13"/>
        <item x="18"/>
        <item x="23"/>
        <item x="27"/>
        <item x="29"/>
        <item x="32"/>
        <item x="38"/>
        <item x="40"/>
        <item x="45"/>
        <item x="46"/>
        <item x="47"/>
        <item x="52"/>
        <item x="54"/>
        <item x="56"/>
        <item x="57"/>
        <item x="62"/>
        <item x="66"/>
        <item x="70"/>
        <item x="72"/>
        <item x="78"/>
        <item x="80"/>
        <item x="86"/>
        <item x="87"/>
        <item x="88"/>
        <item x="90"/>
        <item x="92"/>
        <item x="97"/>
        <item x="104"/>
        <item x="105"/>
        <item x="108"/>
        <item x="111"/>
        <item x="113"/>
        <item x="114"/>
        <item x="115"/>
        <item x="117"/>
        <item x="122"/>
        <item x="123"/>
        <item x="127"/>
        <item x="130"/>
        <item x="132"/>
        <item x="133"/>
        <item x="134"/>
        <item x="136"/>
        <item x="140"/>
        <item x="141"/>
        <item x="145"/>
        <item x="150"/>
        <item x="152"/>
        <item x="165"/>
        <item x="171"/>
        <item x="177"/>
        <item x="180"/>
        <item x="185"/>
        <item x="188"/>
        <item x="192"/>
        <item x="195"/>
        <item x="197"/>
        <item x="201"/>
        <item x="206"/>
        <item x="208"/>
        <item x="209"/>
        <item x="212"/>
        <item x="213"/>
        <item x="214"/>
        <item x="218"/>
        <item x="223"/>
        <item x="226"/>
        <item x="229"/>
        <item x="231"/>
        <item x="232"/>
        <item x="233"/>
        <item x="237"/>
        <item x="238"/>
        <item x="241"/>
        <item x="242"/>
        <item x="244"/>
        <item x="246"/>
        <item x="248"/>
        <item x="249"/>
        <item x="251"/>
        <item x="262"/>
        <item x="264"/>
        <item x="268"/>
        <item x="272"/>
        <item x="279"/>
        <item x="288"/>
        <item x="291"/>
        <item x="292"/>
        <item x="296"/>
        <item x="298"/>
        <item x="305"/>
        <item x="306"/>
        <item x="308"/>
        <item x="310"/>
        <item x="314"/>
        <item x="317"/>
        <item x="319"/>
        <item x="321"/>
        <item x="323"/>
        <item x="326"/>
        <item x="327"/>
        <item x="328"/>
        <item t="default"/>
      </items>
    </pivotField>
    <pivotField axis="axisRow" showAll="0">
      <items count="11">
        <item x="3"/>
        <item x="2"/>
        <item x="9"/>
        <item x="5"/>
        <item x="1"/>
        <item x="4"/>
        <item x="7"/>
        <item x="8"/>
        <item x="0"/>
        <item x="6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Receita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B3204-A0D1-42B6-A623-16F7CFB324C1}" name="Tabela dinâmica3" cacheId="25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5" fieldListSortAscending="1">
  <location ref="G1:H12" firstHeaderRow="1" firstDataRow="1" firstDataCol="1"/>
  <pivotFields count="11">
    <pivotField showAll="0"/>
    <pivotField showAll="0"/>
    <pivotField showAll="0"/>
    <pivotField showAll="0">
      <items count="338">
        <item x="4"/>
        <item x="9"/>
        <item x="12"/>
        <item x="16"/>
        <item x="19"/>
        <item x="22"/>
        <item x="24"/>
        <item x="26"/>
        <item x="31"/>
        <item x="34"/>
        <item x="39"/>
        <item x="43"/>
        <item x="44"/>
        <item x="48"/>
        <item x="50"/>
        <item x="51"/>
        <item x="63"/>
        <item x="65"/>
        <item x="69"/>
        <item x="73"/>
        <item x="75"/>
        <item x="79"/>
        <item x="81"/>
        <item x="83"/>
        <item x="84"/>
        <item x="91"/>
        <item x="95"/>
        <item x="99"/>
        <item x="103"/>
        <item x="106"/>
        <item x="116"/>
        <item x="118"/>
        <item x="120"/>
        <item x="121"/>
        <item x="124"/>
        <item x="125"/>
        <item x="128"/>
        <item x="129"/>
        <item x="131"/>
        <item x="138"/>
        <item x="139"/>
        <item x="142"/>
        <item x="147"/>
        <item x="148"/>
        <item x="151"/>
        <item x="153"/>
        <item x="156"/>
        <item x="157"/>
        <item x="158"/>
        <item x="160"/>
        <item x="161"/>
        <item x="162"/>
        <item x="164"/>
        <item x="166"/>
        <item x="168"/>
        <item x="169"/>
        <item x="170"/>
        <item x="172"/>
        <item x="176"/>
        <item x="178"/>
        <item x="179"/>
        <item x="181"/>
        <item x="182"/>
        <item x="183"/>
        <item x="184"/>
        <item x="186"/>
        <item x="187"/>
        <item x="189"/>
        <item x="190"/>
        <item x="196"/>
        <item x="202"/>
        <item x="203"/>
        <item x="210"/>
        <item x="219"/>
        <item x="222"/>
        <item x="224"/>
        <item x="227"/>
        <item x="228"/>
        <item x="234"/>
        <item x="236"/>
        <item x="239"/>
        <item x="240"/>
        <item x="250"/>
        <item x="254"/>
        <item x="257"/>
        <item x="260"/>
        <item x="263"/>
        <item x="266"/>
        <item x="269"/>
        <item x="271"/>
        <item x="274"/>
        <item x="275"/>
        <item x="276"/>
        <item x="278"/>
        <item x="280"/>
        <item x="281"/>
        <item x="286"/>
        <item x="287"/>
        <item x="290"/>
        <item x="293"/>
        <item x="295"/>
        <item x="297"/>
        <item x="300"/>
        <item x="302"/>
        <item x="303"/>
        <item x="311"/>
        <item x="316"/>
        <item x="329"/>
        <item x="331"/>
        <item x="332"/>
        <item x="0"/>
        <item x="3"/>
        <item x="6"/>
        <item x="8"/>
        <item x="10"/>
        <item x="14"/>
        <item x="15"/>
        <item x="17"/>
        <item x="20"/>
        <item x="21"/>
        <item x="25"/>
        <item x="28"/>
        <item x="30"/>
        <item x="33"/>
        <item x="35"/>
        <item x="36"/>
        <item x="37"/>
        <item x="41"/>
        <item x="42"/>
        <item x="49"/>
        <item x="53"/>
        <item x="55"/>
        <item x="58"/>
        <item x="59"/>
        <item x="60"/>
        <item x="61"/>
        <item x="64"/>
        <item x="67"/>
        <item x="68"/>
        <item x="71"/>
        <item x="74"/>
        <item x="76"/>
        <item x="77"/>
        <item x="82"/>
        <item x="85"/>
        <item x="89"/>
        <item x="93"/>
        <item x="94"/>
        <item x="96"/>
        <item x="98"/>
        <item x="100"/>
        <item x="101"/>
        <item x="102"/>
        <item x="107"/>
        <item x="109"/>
        <item x="110"/>
        <item x="112"/>
        <item x="119"/>
        <item x="126"/>
        <item x="135"/>
        <item x="137"/>
        <item x="143"/>
        <item x="144"/>
        <item x="146"/>
        <item x="149"/>
        <item x="154"/>
        <item x="155"/>
        <item x="159"/>
        <item x="163"/>
        <item x="167"/>
        <item x="173"/>
        <item x="174"/>
        <item x="175"/>
        <item x="191"/>
        <item x="193"/>
        <item x="194"/>
        <item x="198"/>
        <item x="199"/>
        <item x="200"/>
        <item x="204"/>
        <item x="205"/>
        <item x="207"/>
        <item x="211"/>
        <item x="215"/>
        <item x="216"/>
        <item x="217"/>
        <item x="220"/>
        <item x="221"/>
        <item x="225"/>
        <item x="230"/>
        <item x="235"/>
        <item x="243"/>
        <item x="245"/>
        <item x="247"/>
        <item x="252"/>
        <item x="253"/>
        <item x="255"/>
        <item x="256"/>
        <item x="258"/>
        <item x="259"/>
        <item x="261"/>
        <item x="265"/>
        <item x="267"/>
        <item x="270"/>
        <item x="273"/>
        <item x="277"/>
        <item x="282"/>
        <item x="283"/>
        <item x="284"/>
        <item x="285"/>
        <item x="289"/>
        <item x="294"/>
        <item x="299"/>
        <item x="301"/>
        <item x="304"/>
        <item x="307"/>
        <item x="309"/>
        <item x="312"/>
        <item x="313"/>
        <item x="315"/>
        <item x="318"/>
        <item x="320"/>
        <item x="322"/>
        <item x="324"/>
        <item x="325"/>
        <item x="330"/>
        <item x="333"/>
        <item x="334"/>
        <item x="335"/>
        <item x="336"/>
        <item x="1"/>
        <item x="2"/>
        <item x="5"/>
        <item x="7"/>
        <item x="11"/>
        <item x="13"/>
        <item x="18"/>
        <item x="23"/>
        <item x="27"/>
        <item x="29"/>
        <item x="32"/>
        <item x="38"/>
        <item x="40"/>
        <item x="45"/>
        <item x="46"/>
        <item x="47"/>
        <item x="52"/>
        <item x="54"/>
        <item x="56"/>
        <item x="57"/>
        <item x="62"/>
        <item x="66"/>
        <item x="70"/>
        <item x="72"/>
        <item x="78"/>
        <item x="80"/>
        <item x="86"/>
        <item x="87"/>
        <item x="88"/>
        <item x="90"/>
        <item x="92"/>
        <item x="97"/>
        <item x="104"/>
        <item x="105"/>
        <item x="108"/>
        <item x="111"/>
        <item x="113"/>
        <item x="114"/>
        <item x="115"/>
        <item x="117"/>
        <item x="122"/>
        <item x="123"/>
        <item x="127"/>
        <item x="130"/>
        <item x="132"/>
        <item x="133"/>
        <item x="134"/>
        <item x="136"/>
        <item x="140"/>
        <item x="141"/>
        <item x="145"/>
        <item x="150"/>
        <item x="152"/>
        <item x="165"/>
        <item x="171"/>
        <item x="177"/>
        <item x="180"/>
        <item x="185"/>
        <item x="188"/>
        <item x="192"/>
        <item x="195"/>
        <item x="197"/>
        <item x="201"/>
        <item x="206"/>
        <item x="208"/>
        <item x="209"/>
        <item x="212"/>
        <item x="213"/>
        <item x="214"/>
        <item x="218"/>
        <item x="223"/>
        <item x="226"/>
        <item x="229"/>
        <item x="231"/>
        <item x="232"/>
        <item x="233"/>
        <item x="237"/>
        <item x="238"/>
        <item x="241"/>
        <item x="242"/>
        <item x="244"/>
        <item x="246"/>
        <item x="248"/>
        <item x="249"/>
        <item x="251"/>
        <item x="262"/>
        <item x="264"/>
        <item x="268"/>
        <item x="272"/>
        <item x="279"/>
        <item x="288"/>
        <item x="291"/>
        <item x="292"/>
        <item x="296"/>
        <item x="298"/>
        <item x="305"/>
        <item x="306"/>
        <item x="308"/>
        <item x="310"/>
        <item x="314"/>
        <item x="317"/>
        <item x="319"/>
        <item x="321"/>
        <item x="323"/>
        <item x="326"/>
        <item x="327"/>
        <item x="328"/>
        <item t="default"/>
      </items>
    </pivotField>
    <pivotField axis="axisRow" showAll="0">
      <items count="11">
        <item x="3"/>
        <item x="2"/>
        <item x="9"/>
        <item x="5"/>
        <item x="1"/>
        <item x="4"/>
        <item x="7"/>
        <item x="8"/>
        <item x="0"/>
        <item x="6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Quantidad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604AE-E2DC-426F-AECF-25487DC5B5D5}" name="Tabela dinâmica7" cacheId="25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2" fieldListSortAscending="1">
  <location ref="J1:K5" firstHeaderRow="1" firstDataRow="1" firstDataCol="1"/>
  <pivotFields count="11">
    <pivotField showAll="0"/>
    <pivotField showAll="0"/>
    <pivotField showAll="0"/>
    <pivotField showAll="0">
      <items count="338">
        <item x="4"/>
        <item x="9"/>
        <item x="12"/>
        <item x="16"/>
        <item x="19"/>
        <item x="22"/>
        <item x="24"/>
        <item x="26"/>
        <item x="31"/>
        <item x="34"/>
        <item x="39"/>
        <item x="43"/>
        <item x="44"/>
        <item x="48"/>
        <item x="50"/>
        <item x="51"/>
        <item x="63"/>
        <item x="65"/>
        <item x="69"/>
        <item x="73"/>
        <item x="75"/>
        <item x="79"/>
        <item x="81"/>
        <item x="83"/>
        <item x="84"/>
        <item x="91"/>
        <item x="95"/>
        <item x="99"/>
        <item x="103"/>
        <item x="106"/>
        <item x="116"/>
        <item x="118"/>
        <item x="120"/>
        <item x="121"/>
        <item x="124"/>
        <item x="125"/>
        <item x="128"/>
        <item x="129"/>
        <item x="131"/>
        <item x="138"/>
        <item x="139"/>
        <item x="142"/>
        <item x="147"/>
        <item x="148"/>
        <item x="151"/>
        <item x="153"/>
        <item x="156"/>
        <item x="157"/>
        <item x="158"/>
        <item x="160"/>
        <item x="161"/>
        <item x="162"/>
        <item x="164"/>
        <item x="166"/>
        <item x="168"/>
        <item x="169"/>
        <item x="170"/>
        <item x="172"/>
        <item x="176"/>
        <item x="178"/>
        <item x="179"/>
        <item x="181"/>
        <item x="182"/>
        <item x="183"/>
        <item x="184"/>
        <item x="186"/>
        <item x="187"/>
        <item x="189"/>
        <item x="190"/>
        <item x="196"/>
        <item x="202"/>
        <item x="203"/>
        <item x="210"/>
        <item x="219"/>
        <item x="222"/>
        <item x="224"/>
        <item x="227"/>
        <item x="228"/>
        <item x="234"/>
        <item x="236"/>
        <item x="239"/>
        <item x="240"/>
        <item x="250"/>
        <item x="254"/>
        <item x="257"/>
        <item x="260"/>
        <item x="263"/>
        <item x="266"/>
        <item x="269"/>
        <item x="271"/>
        <item x="274"/>
        <item x="275"/>
        <item x="276"/>
        <item x="278"/>
        <item x="280"/>
        <item x="281"/>
        <item x="286"/>
        <item x="287"/>
        <item x="290"/>
        <item x="293"/>
        <item x="295"/>
        <item x="297"/>
        <item x="300"/>
        <item x="302"/>
        <item x="303"/>
        <item x="311"/>
        <item x="316"/>
        <item x="329"/>
        <item x="331"/>
        <item x="332"/>
        <item x="0"/>
        <item x="3"/>
        <item x="6"/>
        <item x="8"/>
        <item x="10"/>
        <item x="14"/>
        <item x="15"/>
        <item x="17"/>
        <item x="20"/>
        <item x="21"/>
        <item x="25"/>
        <item x="28"/>
        <item x="30"/>
        <item x="33"/>
        <item x="35"/>
        <item x="36"/>
        <item x="37"/>
        <item x="41"/>
        <item x="42"/>
        <item x="49"/>
        <item x="53"/>
        <item x="55"/>
        <item x="58"/>
        <item x="59"/>
        <item x="60"/>
        <item x="61"/>
        <item x="64"/>
        <item x="67"/>
        <item x="68"/>
        <item x="71"/>
        <item x="74"/>
        <item x="76"/>
        <item x="77"/>
        <item x="82"/>
        <item x="85"/>
        <item x="89"/>
        <item x="93"/>
        <item x="94"/>
        <item x="96"/>
        <item x="98"/>
        <item x="100"/>
        <item x="101"/>
        <item x="102"/>
        <item x="107"/>
        <item x="109"/>
        <item x="110"/>
        <item x="112"/>
        <item x="119"/>
        <item x="126"/>
        <item x="135"/>
        <item x="137"/>
        <item x="143"/>
        <item x="144"/>
        <item x="146"/>
        <item x="149"/>
        <item x="154"/>
        <item x="155"/>
        <item x="159"/>
        <item x="163"/>
        <item x="167"/>
        <item x="173"/>
        <item x="174"/>
        <item x="175"/>
        <item x="191"/>
        <item x="193"/>
        <item x="194"/>
        <item x="198"/>
        <item x="199"/>
        <item x="200"/>
        <item x="204"/>
        <item x="205"/>
        <item x="207"/>
        <item x="211"/>
        <item x="215"/>
        <item x="216"/>
        <item x="217"/>
        <item x="220"/>
        <item x="221"/>
        <item x="225"/>
        <item x="230"/>
        <item x="235"/>
        <item x="243"/>
        <item x="245"/>
        <item x="247"/>
        <item x="252"/>
        <item x="253"/>
        <item x="255"/>
        <item x="256"/>
        <item x="258"/>
        <item x="259"/>
        <item x="261"/>
        <item x="265"/>
        <item x="267"/>
        <item x="270"/>
        <item x="273"/>
        <item x="277"/>
        <item x="282"/>
        <item x="283"/>
        <item x="284"/>
        <item x="285"/>
        <item x="289"/>
        <item x="294"/>
        <item x="299"/>
        <item x="301"/>
        <item x="304"/>
        <item x="307"/>
        <item x="309"/>
        <item x="312"/>
        <item x="313"/>
        <item x="315"/>
        <item x="318"/>
        <item x="320"/>
        <item x="322"/>
        <item x="324"/>
        <item x="325"/>
        <item x="330"/>
        <item x="333"/>
        <item x="334"/>
        <item x="335"/>
        <item x="336"/>
        <item x="1"/>
        <item x="2"/>
        <item x="5"/>
        <item x="7"/>
        <item x="11"/>
        <item x="13"/>
        <item x="18"/>
        <item x="23"/>
        <item x="27"/>
        <item x="29"/>
        <item x="32"/>
        <item x="38"/>
        <item x="40"/>
        <item x="45"/>
        <item x="46"/>
        <item x="47"/>
        <item x="52"/>
        <item x="54"/>
        <item x="56"/>
        <item x="57"/>
        <item x="62"/>
        <item x="66"/>
        <item x="70"/>
        <item x="72"/>
        <item x="78"/>
        <item x="80"/>
        <item x="86"/>
        <item x="87"/>
        <item x="88"/>
        <item x="90"/>
        <item x="92"/>
        <item x="97"/>
        <item x="104"/>
        <item x="105"/>
        <item x="108"/>
        <item x="111"/>
        <item x="113"/>
        <item x="114"/>
        <item x="115"/>
        <item x="117"/>
        <item x="122"/>
        <item x="123"/>
        <item x="127"/>
        <item x="130"/>
        <item x="132"/>
        <item x="133"/>
        <item x="134"/>
        <item x="136"/>
        <item x="140"/>
        <item x="141"/>
        <item x="145"/>
        <item x="150"/>
        <item x="152"/>
        <item x="165"/>
        <item x="171"/>
        <item x="177"/>
        <item x="180"/>
        <item x="185"/>
        <item x="188"/>
        <item x="192"/>
        <item x="195"/>
        <item x="197"/>
        <item x="201"/>
        <item x="206"/>
        <item x="208"/>
        <item x="209"/>
        <item x="212"/>
        <item x="213"/>
        <item x="214"/>
        <item x="218"/>
        <item x="223"/>
        <item x="226"/>
        <item x="229"/>
        <item x="231"/>
        <item x="232"/>
        <item x="233"/>
        <item x="237"/>
        <item x="238"/>
        <item x="241"/>
        <item x="242"/>
        <item x="244"/>
        <item x="246"/>
        <item x="248"/>
        <item x="249"/>
        <item x="251"/>
        <item x="262"/>
        <item x="264"/>
        <item x="268"/>
        <item x="272"/>
        <item x="279"/>
        <item x="288"/>
        <item x="291"/>
        <item x="292"/>
        <item x="296"/>
        <item x="298"/>
        <item x="305"/>
        <item x="306"/>
        <item x="308"/>
        <item x="310"/>
        <item x="314"/>
        <item x="317"/>
        <item x="319"/>
        <item x="321"/>
        <item x="323"/>
        <item x="326"/>
        <item x="327"/>
        <item x="328"/>
        <item t="default"/>
      </items>
    </pivotField>
    <pivotField showAll="0">
      <items count="11">
        <item x="3"/>
        <item x="2"/>
        <item x="9"/>
        <item x="5"/>
        <item x="1"/>
        <item x="4"/>
        <item x="7"/>
        <item x="8"/>
        <item x="0"/>
        <item x="6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Receita" fld="7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DA50AF-7FAB-4059-AE40-57AD7130A4A6}" name="TabelaVendas" displayName="TabelaVendas" ref="B2:I402" totalsRowShown="0" headerRowDxfId="10" dataDxfId="9" tableBorderDxfId="8" dataCellStyle="Normal">
  <autoFilter ref="B2:I402" xr:uid="{2EDA50AF-7FAB-4059-AE40-57AD7130A4A6}"/>
  <tableColumns count="8">
    <tableColumn id="1" xr3:uid="{FD354DD3-D526-45AA-8F16-4C494DA6B1E4}" name="VendasID" dataDxfId="7" dataCellStyle="Normal"/>
    <tableColumn id="2" xr3:uid="{284E91A6-74B4-46E7-AE42-F7C0EA9E20E6}" name="Vendedor" dataDxfId="6" dataCellStyle="Normal"/>
    <tableColumn id="3" xr3:uid="{9B61BA02-7FA5-4DB9-B8F8-B45F0F9488DE}" name="Cliente" dataDxfId="2" dataCellStyle="Normal"/>
    <tableColumn id="4" xr3:uid="{F38B25BA-C085-4CF9-8B13-521612283BE5}" name="Data" dataDxfId="0" dataCellStyle="Normal"/>
    <tableColumn id="5" xr3:uid="{C2013A69-785C-4F09-9F11-0735EB095676}" name="Produto" dataDxfId="1" dataCellStyle="Normal"/>
    <tableColumn id="6" xr3:uid="{06C2C688-0A8B-4888-B6C3-55193077C4B6}" name="ValorUni" dataDxfId="5" dataCellStyle="Normal"/>
    <tableColumn id="7" xr3:uid="{358B2B0C-C20B-4ECF-AC83-0FF0CBB247C9}" name="Quantidade" dataDxfId="4" dataCellStyle="Normal"/>
    <tableColumn id="8" xr3:uid="{D27A05EF-52C8-47C1-943A-DFA08F08899C}" name="Receita" dataDxfId="3" dataCellStyle="Normal">
      <calculatedColumnFormula>TabelaVendas[[#This Row],[ValorUni]]*TabelaVendas[[#This Row],[Quantidade]]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FCF145AE-8613-4A79-9A08-FE934B37D626}" sourceName="Data">
  <pivotTables>
    <pivotTable tabId="7" name="Tabela dinâmica7"/>
    <pivotTable tabId="7" name="Tabela dinâmica3"/>
    <pivotTable tabId="7" name="Tabela dinâmica1"/>
    <pivotTable tabId="7" name="Tabela dinâmica2"/>
  </pivotTables>
  <state minimalRefreshVersion="6" lastRefreshVersion="6" pivotCacheId="68745513" filterType="unknown">
    <bounds startDate="2018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7EC3FD69-D367-4076-B2EE-0AA3A8005681}" cache="NativeTimeline_Data" caption="Data" level="2" selectionLevel="2" scrollPosition="2020-05-07T00:00:00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12E9-F3B0-47E9-A67D-C2273286B82D}">
  <dimension ref="A4:B14"/>
  <sheetViews>
    <sheetView tabSelected="1" zoomScale="55" zoomScaleNormal="55" workbookViewId="0">
      <selection activeCell="B27" sqref="B27"/>
    </sheetView>
  </sheetViews>
  <sheetFormatPr defaultRowHeight="14.4"/>
  <cols>
    <col min="1" max="1" width="27.6640625" customWidth="1"/>
    <col min="2" max="2" width="24" customWidth="1"/>
    <col min="3" max="3" width="23.21875" customWidth="1"/>
    <col min="4" max="5" width="23" customWidth="1"/>
    <col min="6" max="6" width="25.5546875" customWidth="1"/>
    <col min="7" max="7" width="36.77734375" bestFit="1" customWidth="1"/>
    <col min="8" max="8" width="30.5546875" customWidth="1"/>
    <col min="9" max="9" width="18.88671875" bestFit="1" customWidth="1"/>
    <col min="10" max="10" width="18.6640625" bestFit="1" customWidth="1"/>
    <col min="11" max="11" width="15.5546875" bestFit="1" customWidth="1"/>
    <col min="12" max="12" width="8.77734375" bestFit="1" customWidth="1"/>
    <col min="13" max="17" width="9.77734375" bestFit="1" customWidth="1"/>
    <col min="18" max="22" width="8.77734375" bestFit="1" customWidth="1"/>
    <col min="23" max="23" width="9.77734375" bestFit="1" customWidth="1"/>
    <col min="24" max="27" width="10.77734375" bestFit="1" customWidth="1"/>
    <col min="28" max="36" width="9.77734375" bestFit="1" customWidth="1"/>
    <col min="37" max="38" width="10.77734375" bestFit="1" customWidth="1"/>
    <col min="39" max="47" width="9.77734375" bestFit="1" customWidth="1"/>
    <col min="48" max="51" width="10.77734375" bestFit="1" customWidth="1"/>
    <col min="52" max="61" width="9.77734375" bestFit="1" customWidth="1"/>
    <col min="62" max="65" width="10.77734375" bestFit="1" customWidth="1"/>
    <col min="66" max="73" width="9.77734375" bestFit="1" customWidth="1"/>
    <col min="74" max="74" width="10.77734375" bestFit="1" customWidth="1"/>
    <col min="75" max="81" width="9.77734375" bestFit="1" customWidth="1"/>
    <col min="82" max="85" width="10.77734375" bestFit="1" customWidth="1"/>
    <col min="86" max="95" width="9.77734375" bestFit="1" customWidth="1"/>
    <col min="96" max="99" width="10.77734375" bestFit="1" customWidth="1"/>
    <col min="100" max="109" width="9.77734375" bestFit="1" customWidth="1"/>
    <col min="110" max="113" width="10.77734375" bestFit="1" customWidth="1"/>
    <col min="114" max="124" width="9.77734375" bestFit="1" customWidth="1"/>
    <col min="125" max="127" width="10.77734375" bestFit="1" customWidth="1"/>
    <col min="128" max="138" width="9.77734375" bestFit="1" customWidth="1"/>
    <col min="139" max="141" width="10.77734375" bestFit="1" customWidth="1"/>
    <col min="142" max="148" width="9.77734375" bestFit="1" customWidth="1"/>
    <col min="149" max="150" width="8.77734375" bestFit="1" customWidth="1"/>
    <col min="151" max="156" width="9.77734375" bestFit="1" customWidth="1"/>
    <col min="157" max="162" width="8.77734375" bestFit="1" customWidth="1"/>
    <col min="163" max="165" width="10.77734375" bestFit="1" customWidth="1"/>
    <col min="166" max="172" width="9.77734375" bestFit="1" customWidth="1"/>
    <col min="173" max="174" width="10.77734375" bestFit="1" customWidth="1"/>
    <col min="175" max="183" width="9.77734375" bestFit="1" customWidth="1"/>
    <col min="184" max="187" width="10.77734375" bestFit="1" customWidth="1"/>
    <col min="188" max="195" width="9.77734375" bestFit="1" customWidth="1"/>
    <col min="196" max="200" width="10.77734375" bestFit="1" customWidth="1"/>
    <col min="201" max="209" width="9.77734375" bestFit="1" customWidth="1"/>
    <col min="210" max="212" width="10.77734375" bestFit="1" customWidth="1"/>
    <col min="213" max="217" width="9.77734375" bestFit="1" customWidth="1"/>
    <col min="218" max="222" width="10.77734375" bestFit="1" customWidth="1"/>
    <col min="223" max="230" width="9.77734375" bestFit="1" customWidth="1"/>
    <col min="231" max="232" width="10.77734375" bestFit="1" customWidth="1"/>
    <col min="233" max="243" width="9.77734375" bestFit="1" customWidth="1"/>
    <col min="244" max="245" width="10.77734375" bestFit="1" customWidth="1"/>
    <col min="246" max="251" width="9.77734375" bestFit="1" customWidth="1"/>
    <col min="252" max="255" width="10.77734375" bestFit="1" customWidth="1"/>
    <col min="256" max="264" width="9.77734375" bestFit="1" customWidth="1"/>
    <col min="265" max="265" width="10.77734375" bestFit="1" customWidth="1"/>
    <col min="266" max="271" width="9.77734375" bestFit="1" customWidth="1"/>
    <col min="272" max="272" width="8.77734375" bestFit="1" customWidth="1"/>
    <col min="273" max="274" width="9.77734375" bestFit="1" customWidth="1"/>
    <col min="275" max="277" width="8.77734375" bestFit="1" customWidth="1"/>
    <col min="278" max="278" width="9.77734375" bestFit="1" customWidth="1"/>
    <col min="279" max="280" width="10.77734375" bestFit="1" customWidth="1"/>
    <col min="281" max="287" width="9.77734375" bestFit="1" customWidth="1"/>
    <col min="288" max="289" width="10.77734375" bestFit="1" customWidth="1"/>
    <col min="290" max="290" width="9.77734375" bestFit="1" customWidth="1"/>
    <col min="291" max="291" width="8.77734375" bestFit="1" customWidth="1"/>
    <col min="292" max="294" width="9.77734375" bestFit="1" customWidth="1"/>
    <col min="295" max="300" width="8.77734375" bestFit="1" customWidth="1"/>
    <col min="301" max="303" width="9.77734375" bestFit="1" customWidth="1"/>
    <col min="304" max="313" width="8.77734375" bestFit="1" customWidth="1"/>
    <col min="314" max="315" width="9.77734375" bestFit="1" customWidth="1"/>
    <col min="316" max="323" width="8.77734375" bestFit="1" customWidth="1"/>
    <col min="324" max="326" width="9.77734375" bestFit="1" customWidth="1"/>
    <col min="327" max="335" width="8.77734375" bestFit="1" customWidth="1"/>
    <col min="336" max="338" width="9.77734375" bestFit="1" customWidth="1"/>
    <col min="339" max="347" width="8.77734375" bestFit="1" customWidth="1"/>
    <col min="348" max="348" width="10" bestFit="1" customWidth="1"/>
  </cols>
  <sheetData>
    <row r="4" spans="1:2" ht="36.6">
      <c r="A4" s="18" t="s">
        <v>147</v>
      </c>
      <c r="B4" s="19">
        <f>SUM(TabelaVendas[Receita])</f>
        <v>2438777</v>
      </c>
    </row>
    <row r="5" spans="1:2" ht="36.6">
      <c r="A5" s="17"/>
      <c r="B5" s="16"/>
    </row>
    <row r="6" spans="1:2" ht="36.6">
      <c r="A6" s="18" t="s">
        <v>149</v>
      </c>
      <c r="B6" s="19">
        <f>COUNTA(TabelaVendas[VendasID])</f>
        <v>400</v>
      </c>
    </row>
    <row r="7" spans="1:2" ht="36.6">
      <c r="A7" s="17"/>
      <c r="B7" s="16"/>
    </row>
    <row r="8" spans="1:2" ht="36.6">
      <c r="A8" s="18" t="s">
        <v>148</v>
      </c>
      <c r="B8" s="20" cm="1">
        <f t="array" ref="B8">SUM(TabelaVendas[Receita]/COUNTA(TabelaVendas[VendasID]))</f>
        <v>6096.9424999999892</v>
      </c>
    </row>
    <row r="9" spans="1:2" ht="36.6">
      <c r="A9" s="17"/>
      <c r="B9" s="16"/>
    </row>
    <row r="10" spans="1:2" ht="36.6">
      <c r="A10" s="18" t="s">
        <v>150</v>
      </c>
      <c r="B10" s="20" cm="1">
        <f t="array" ref="B10">SUM(TabelaVendas[Receita]) / SUM(1/COUNTIF(TabelaVendas[Cliente], TabelaVendas[Cliente]))</f>
        <v>21774.79464285713</v>
      </c>
    </row>
    <row r="11" spans="1:2" ht="36.6">
      <c r="A11" s="17"/>
      <c r="B11" s="16"/>
    </row>
    <row r="12" spans="1:2" ht="36.6">
      <c r="A12" s="18" t="s">
        <v>151</v>
      </c>
      <c r="B12" s="19">
        <f>SUM(TabelaVendas[Quantidade])</f>
        <v>773</v>
      </c>
    </row>
    <row r="13" spans="1:2" ht="36.6">
      <c r="A13" s="17"/>
      <c r="B13" s="16"/>
    </row>
    <row r="14" spans="1:2" ht="36.6">
      <c r="A14" s="18" t="s">
        <v>152</v>
      </c>
      <c r="B14" s="19" cm="1">
        <f t="array" ref="B14">SUM(1/COUNTIF(TabelaVendas[Cliente], TabelaVendas[Cliente]))</f>
        <v>112.00000000000007</v>
      </c>
    </row>
  </sheetData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1103-5129-4A64-A813-E26A9F6421FF}">
  <dimension ref="A1:K12"/>
  <sheetViews>
    <sheetView workbookViewId="0">
      <selection activeCell="J3" sqref="J3"/>
    </sheetView>
  </sheetViews>
  <sheetFormatPr defaultRowHeight="14.4"/>
  <sheetData>
    <row r="1" spans="1:11">
      <c r="A1" s="9" t="s">
        <v>140</v>
      </c>
      <c r="B1" t="s">
        <v>142</v>
      </c>
      <c r="D1" s="9" t="s">
        <v>140</v>
      </c>
      <c r="E1" t="s">
        <v>142</v>
      </c>
      <c r="G1" s="9" t="s">
        <v>140</v>
      </c>
      <c r="H1" t="s">
        <v>143</v>
      </c>
      <c r="J1" s="9" t="s">
        <v>140</v>
      </c>
      <c r="K1" t="s">
        <v>142</v>
      </c>
    </row>
    <row r="2" spans="1:11">
      <c r="A2" s="10" t="s">
        <v>116</v>
      </c>
      <c r="B2" s="11">
        <v>477897</v>
      </c>
      <c r="D2" s="10" t="s">
        <v>130</v>
      </c>
      <c r="E2" s="11">
        <v>8625</v>
      </c>
      <c r="G2" s="10" t="s">
        <v>130</v>
      </c>
      <c r="H2" s="11">
        <v>75</v>
      </c>
      <c r="J2" s="10" t="s">
        <v>144</v>
      </c>
      <c r="K2" s="11">
        <v>834410</v>
      </c>
    </row>
    <row r="3" spans="1:11">
      <c r="A3" s="10" t="s">
        <v>117</v>
      </c>
      <c r="B3" s="11">
        <v>232031</v>
      </c>
      <c r="D3" s="10" t="s">
        <v>133</v>
      </c>
      <c r="E3" s="11">
        <v>496854</v>
      </c>
      <c r="G3" s="10" t="s">
        <v>133</v>
      </c>
      <c r="H3" s="11">
        <v>54</v>
      </c>
      <c r="J3" s="10" t="s">
        <v>145</v>
      </c>
      <c r="K3" s="11">
        <v>841940</v>
      </c>
    </row>
    <row r="4" spans="1:11">
      <c r="A4" s="10" t="s">
        <v>118</v>
      </c>
      <c r="B4" s="11">
        <v>166593</v>
      </c>
      <c r="D4" s="10" t="s">
        <v>132</v>
      </c>
      <c r="E4" s="11">
        <v>300968</v>
      </c>
      <c r="G4" s="10" t="s">
        <v>132</v>
      </c>
      <c r="H4" s="11">
        <v>34</v>
      </c>
      <c r="J4" s="10" t="s">
        <v>146</v>
      </c>
      <c r="K4" s="11">
        <v>762427</v>
      </c>
    </row>
    <row r="5" spans="1:11">
      <c r="A5" s="10" t="s">
        <v>119</v>
      </c>
      <c r="B5" s="11">
        <v>108755</v>
      </c>
      <c r="D5" s="10" t="s">
        <v>137</v>
      </c>
      <c r="E5" s="11">
        <v>404964</v>
      </c>
      <c r="G5" s="10" t="s">
        <v>137</v>
      </c>
      <c r="H5" s="11">
        <v>112</v>
      </c>
      <c r="J5" s="10" t="s">
        <v>141</v>
      </c>
      <c r="K5" s="11">
        <v>2438777</v>
      </c>
    </row>
    <row r="6" spans="1:11">
      <c r="A6" s="10" t="s">
        <v>120</v>
      </c>
      <c r="B6" s="11">
        <v>224632</v>
      </c>
      <c r="D6" s="10" t="s">
        <v>136</v>
      </c>
      <c r="E6" s="11">
        <v>628792</v>
      </c>
      <c r="G6" s="10" t="s">
        <v>136</v>
      </c>
      <c r="H6" s="11">
        <v>212</v>
      </c>
    </row>
    <row r="7" spans="1:11">
      <c r="A7" s="10" t="s">
        <v>121</v>
      </c>
      <c r="B7" s="11">
        <v>467616</v>
      </c>
      <c r="D7" s="10" t="s">
        <v>134</v>
      </c>
      <c r="E7" s="11">
        <v>255300</v>
      </c>
      <c r="G7" s="10" t="s">
        <v>134</v>
      </c>
      <c r="H7" s="11">
        <v>60</v>
      </c>
    </row>
    <row r="8" spans="1:11">
      <c r="A8" s="10" t="s">
        <v>122</v>
      </c>
      <c r="B8" s="11">
        <v>190255</v>
      </c>
      <c r="D8" s="10" t="s">
        <v>135</v>
      </c>
      <c r="E8" s="11">
        <v>313978</v>
      </c>
      <c r="G8" s="10" t="s">
        <v>135</v>
      </c>
      <c r="H8" s="11">
        <v>41</v>
      </c>
    </row>
    <row r="9" spans="1:11">
      <c r="A9" s="10" t="s">
        <v>123</v>
      </c>
      <c r="B9" s="11">
        <v>154242</v>
      </c>
      <c r="D9" s="10" t="s">
        <v>131</v>
      </c>
      <c r="E9" s="11">
        <v>8505</v>
      </c>
      <c r="G9" s="10" t="s">
        <v>131</v>
      </c>
      <c r="H9" s="11">
        <v>63</v>
      </c>
    </row>
    <row r="10" spans="1:11">
      <c r="A10" s="10" t="s">
        <v>124</v>
      </c>
      <c r="B10" s="11">
        <v>221240</v>
      </c>
      <c r="D10" s="10" t="s">
        <v>128</v>
      </c>
      <c r="E10" s="11">
        <v>10075</v>
      </c>
      <c r="G10" s="10" t="s">
        <v>128</v>
      </c>
      <c r="H10" s="11">
        <v>65</v>
      </c>
    </row>
    <row r="11" spans="1:11">
      <c r="A11" s="10" t="s">
        <v>125</v>
      </c>
      <c r="B11" s="11">
        <v>195516</v>
      </c>
      <c r="D11" s="10" t="s">
        <v>129</v>
      </c>
      <c r="E11" s="11">
        <v>10716</v>
      </c>
      <c r="G11" s="10" t="s">
        <v>129</v>
      </c>
      <c r="H11" s="11">
        <v>57</v>
      </c>
    </row>
    <row r="12" spans="1:11">
      <c r="A12" s="10" t="s">
        <v>141</v>
      </c>
      <c r="B12" s="11">
        <v>2438777</v>
      </c>
      <c r="D12" s="10" t="s">
        <v>141</v>
      </c>
      <c r="E12" s="11">
        <v>2438777</v>
      </c>
      <c r="G12" s="10" t="s">
        <v>141</v>
      </c>
      <c r="H12" s="11">
        <v>773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2"/>
  <sheetViews>
    <sheetView workbookViewId="0">
      <selection activeCell="D6" sqref="D6"/>
    </sheetView>
  </sheetViews>
  <sheetFormatPr defaultColWidth="8.6640625" defaultRowHeight="14.4"/>
  <cols>
    <col min="2" max="2" width="13.44140625" style="1" customWidth="1"/>
    <col min="3" max="3" width="17.44140625" style="1" bestFit="1" customWidth="1"/>
    <col min="4" max="4" width="31.33203125" style="1" bestFit="1" customWidth="1"/>
    <col min="5" max="5" width="10.6640625" style="15" bestFit="1" customWidth="1"/>
    <col min="6" max="6" width="55.33203125" style="1" customWidth="1"/>
    <col min="7" max="7" width="10.21875" style="1" customWidth="1"/>
    <col min="8" max="8" width="12.77734375" style="1" customWidth="1"/>
    <col min="9" max="12" width="8.6640625" style="3"/>
    <col min="13" max="16384" width="8.6640625" style="1"/>
  </cols>
  <sheetData>
    <row r="1" spans="1:11" s="3" customFormat="1">
      <c r="E1" s="13"/>
    </row>
    <row r="2" spans="1:11">
      <c r="A2" s="1"/>
      <c r="B2" s="5" t="s">
        <v>2</v>
      </c>
      <c r="C2" s="2" t="s">
        <v>1</v>
      </c>
      <c r="D2" s="2" t="s">
        <v>0</v>
      </c>
      <c r="E2" s="14" t="s">
        <v>3</v>
      </c>
      <c r="F2" s="2" t="s">
        <v>126</v>
      </c>
      <c r="G2" s="2" t="s">
        <v>138</v>
      </c>
      <c r="H2" s="4" t="s">
        <v>127</v>
      </c>
      <c r="I2" s="7" t="s">
        <v>139</v>
      </c>
    </row>
    <row r="3" spans="1:11">
      <c r="B3" s="8">
        <v>1</v>
      </c>
      <c r="C3" s="8" t="s">
        <v>116</v>
      </c>
      <c r="D3" s="8" t="s">
        <v>47</v>
      </c>
      <c r="E3" s="12">
        <v>43466</v>
      </c>
      <c r="F3" s="8" t="s">
        <v>128</v>
      </c>
      <c r="G3" s="8">
        <v>155</v>
      </c>
      <c r="H3" s="8">
        <v>2</v>
      </c>
      <c r="I3" s="8">
        <f>TabelaVendas[[#This Row],[ValorUni]]*TabelaVendas[[#This Row],[Quantidade]]</f>
        <v>310</v>
      </c>
    </row>
    <row r="4" spans="1:11">
      <c r="B4" s="8">
        <v>2</v>
      </c>
      <c r="C4" s="8" t="s">
        <v>121</v>
      </c>
      <c r="D4" s="8" t="s">
        <v>88</v>
      </c>
      <c r="E4" s="12">
        <v>43831</v>
      </c>
      <c r="F4" s="8" t="s">
        <v>136</v>
      </c>
      <c r="G4" s="8">
        <v>2966</v>
      </c>
      <c r="H4" s="8">
        <v>2</v>
      </c>
      <c r="I4" s="8">
        <f>TabelaVendas[[#This Row],[ValorUni]]*TabelaVendas[[#This Row],[Quantidade]]</f>
        <v>5932</v>
      </c>
    </row>
    <row r="5" spans="1:11">
      <c r="B5" s="8">
        <v>3</v>
      </c>
      <c r="C5" s="8" t="s">
        <v>122</v>
      </c>
      <c r="D5" s="8" t="s">
        <v>17</v>
      </c>
      <c r="E5" s="12">
        <v>43832</v>
      </c>
      <c r="F5" s="8" t="s">
        <v>133</v>
      </c>
      <c r="G5" s="8">
        <v>9201</v>
      </c>
      <c r="H5" s="8">
        <v>2</v>
      </c>
      <c r="I5" s="8">
        <f>TabelaVendas[[#This Row],[ValorUni]]*TabelaVendas[[#This Row],[Quantidade]]</f>
        <v>18402</v>
      </c>
    </row>
    <row r="6" spans="1:11">
      <c r="B6" s="8">
        <v>4</v>
      </c>
      <c r="C6" s="8" t="s">
        <v>120</v>
      </c>
      <c r="D6" s="8" t="s">
        <v>8</v>
      </c>
      <c r="E6" s="12">
        <v>43467</v>
      </c>
      <c r="F6" s="8" t="s">
        <v>136</v>
      </c>
      <c r="G6" s="8">
        <v>2966</v>
      </c>
      <c r="H6" s="8">
        <v>2</v>
      </c>
      <c r="I6" s="8">
        <f>TabelaVendas[[#This Row],[ValorUni]]*TabelaVendas[[#This Row],[Quantidade]]</f>
        <v>5932</v>
      </c>
    </row>
    <row r="7" spans="1:11">
      <c r="B7" s="8">
        <v>5</v>
      </c>
      <c r="C7" s="8" t="s">
        <v>123</v>
      </c>
      <c r="D7" s="8" t="s">
        <v>61</v>
      </c>
      <c r="E7" s="12">
        <v>43103</v>
      </c>
      <c r="F7" s="8" t="s">
        <v>128</v>
      </c>
      <c r="G7" s="8">
        <v>155</v>
      </c>
      <c r="H7" s="8">
        <v>1</v>
      </c>
      <c r="I7" s="8">
        <f>TabelaVendas[[#This Row],[ValorUni]]*TabelaVendas[[#This Row],[Quantidade]]</f>
        <v>155</v>
      </c>
      <c r="K7" s="6"/>
    </row>
    <row r="8" spans="1:11">
      <c r="B8" s="8">
        <v>6</v>
      </c>
      <c r="C8" s="8" t="s">
        <v>124</v>
      </c>
      <c r="D8" s="8" t="s">
        <v>39</v>
      </c>
      <c r="E8" s="12">
        <v>43834</v>
      </c>
      <c r="F8" s="8" t="s">
        <v>133</v>
      </c>
      <c r="G8" s="8">
        <v>9201</v>
      </c>
      <c r="H8" s="8">
        <v>3</v>
      </c>
      <c r="I8" s="8">
        <f>TabelaVendas[[#This Row],[ValorUni]]*TabelaVendas[[#This Row],[Quantidade]]</f>
        <v>27603</v>
      </c>
    </row>
    <row r="9" spans="1:11">
      <c r="B9" s="8">
        <v>7</v>
      </c>
      <c r="C9" s="8" t="s">
        <v>116</v>
      </c>
      <c r="D9" s="8" t="s">
        <v>47</v>
      </c>
      <c r="E9" s="12">
        <v>43471</v>
      </c>
      <c r="F9" s="8" t="s">
        <v>130</v>
      </c>
      <c r="G9" s="8">
        <v>115</v>
      </c>
      <c r="H9" s="8">
        <v>3</v>
      </c>
      <c r="I9" s="8">
        <f>TabelaVendas[[#This Row],[ValorUni]]*TabelaVendas[[#This Row],[Quantidade]]</f>
        <v>345</v>
      </c>
    </row>
    <row r="10" spans="1:11">
      <c r="B10" s="8">
        <v>8</v>
      </c>
      <c r="C10" s="8" t="s">
        <v>116</v>
      </c>
      <c r="D10" s="8" t="s">
        <v>89</v>
      </c>
      <c r="E10" s="12">
        <v>43471</v>
      </c>
      <c r="F10" s="8" t="s">
        <v>134</v>
      </c>
      <c r="G10" s="8">
        <v>4255</v>
      </c>
      <c r="H10" s="8">
        <v>2</v>
      </c>
      <c r="I10" s="8">
        <f>TabelaVendas[[#This Row],[ValorUni]]*TabelaVendas[[#This Row],[Quantidade]]</f>
        <v>8510</v>
      </c>
    </row>
    <row r="11" spans="1:11">
      <c r="B11" s="8">
        <v>9</v>
      </c>
      <c r="C11" s="8" t="s">
        <v>116</v>
      </c>
      <c r="D11" s="8" t="s">
        <v>47</v>
      </c>
      <c r="E11" s="12">
        <v>43836</v>
      </c>
      <c r="F11" s="8" t="s">
        <v>136</v>
      </c>
      <c r="G11" s="8">
        <v>2966</v>
      </c>
      <c r="H11" s="8">
        <v>1</v>
      </c>
      <c r="I11" s="8">
        <f>TabelaVendas[[#This Row],[ValorUni]]*TabelaVendas[[#This Row],[Quantidade]]</f>
        <v>2966</v>
      </c>
    </row>
    <row r="12" spans="1:11">
      <c r="B12" s="8">
        <v>10</v>
      </c>
      <c r="C12" s="8" t="s">
        <v>116</v>
      </c>
      <c r="D12" s="8" t="s">
        <v>95</v>
      </c>
      <c r="E12" s="12">
        <v>43836</v>
      </c>
      <c r="F12" s="8" t="s">
        <v>130</v>
      </c>
      <c r="G12" s="8">
        <v>115</v>
      </c>
      <c r="H12" s="8">
        <v>2</v>
      </c>
      <c r="I12" s="8">
        <f>TabelaVendas[[#This Row],[ValorUni]]*TabelaVendas[[#This Row],[Quantidade]]</f>
        <v>230</v>
      </c>
    </row>
    <row r="13" spans="1:11">
      <c r="B13" s="8">
        <v>11</v>
      </c>
      <c r="C13" s="8" t="s">
        <v>116</v>
      </c>
      <c r="D13" s="8" t="s">
        <v>32</v>
      </c>
      <c r="E13" s="12">
        <v>43473</v>
      </c>
      <c r="F13" s="8" t="s">
        <v>137</v>
      </c>
      <c r="G13" s="8">
        <v>2955</v>
      </c>
      <c r="H13" s="8">
        <v>2</v>
      </c>
      <c r="I13" s="8">
        <f>TabelaVendas[[#This Row],[ValorUni]]*TabelaVendas[[#This Row],[Quantidade]]</f>
        <v>5910</v>
      </c>
    </row>
    <row r="14" spans="1:11">
      <c r="B14" s="8">
        <v>12</v>
      </c>
      <c r="C14" s="8" t="s">
        <v>122</v>
      </c>
      <c r="D14" s="8" t="s">
        <v>18</v>
      </c>
      <c r="E14" s="12">
        <v>43109</v>
      </c>
      <c r="F14" s="8" t="s">
        <v>136</v>
      </c>
      <c r="G14" s="8">
        <v>2966</v>
      </c>
      <c r="H14" s="8">
        <v>2</v>
      </c>
      <c r="I14" s="8">
        <f>TabelaVendas[[#This Row],[ValorUni]]*TabelaVendas[[#This Row],[Quantidade]]</f>
        <v>5932</v>
      </c>
    </row>
    <row r="15" spans="1:11">
      <c r="B15" s="8">
        <v>13</v>
      </c>
      <c r="C15" s="8" t="s">
        <v>119</v>
      </c>
      <c r="D15" s="8" t="s">
        <v>66</v>
      </c>
      <c r="E15" s="12">
        <v>43475</v>
      </c>
      <c r="F15" s="8" t="s">
        <v>128</v>
      </c>
      <c r="G15" s="8">
        <v>155</v>
      </c>
      <c r="H15" s="8">
        <v>2</v>
      </c>
      <c r="I15" s="8">
        <f>TabelaVendas[[#This Row],[ValorUni]]*TabelaVendas[[#This Row],[Quantidade]]</f>
        <v>310</v>
      </c>
    </row>
    <row r="16" spans="1:11">
      <c r="B16" s="8">
        <v>14</v>
      </c>
      <c r="C16" s="8" t="s">
        <v>118</v>
      </c>
      <c r="D16" s="8" t="s">
        <v>47</v>
      </c>
      <c r="E16" s="12">
        <v>43842</v>
      </c>
      <c r="F16" s="8" t="s">
        <v>130</v>
      </c>
      <c r="G16" s="8">
        <v>115</v>
      </c>
      <c r="H16" s="8">
        <v>2</v>
      </c>
      <c r="I16" s="8">
        <f>TabelaVendas[[#This Row],[ValorUni]]*TabelaVendas[[#This Row],[Quantidade]]</f>
        <v>230</v>
      </c>
    </row>
    <row r="17" spans="2:9">
      <c r="B17" s="8">
        <v>15</v>
      </c>
      <c r="C17" s="8" t="s">
        <v>119</v>
      </c>
      <c r="D17" s="8" t="s">
        <v>115</v>
      </c>
      <c r="E17" s="12">
        <v>43112</v>
      </c>
      <c r="F17" s="8" t="s">
        <v>137</v>
      </c>
      <c r="G17" s="8">
        <v>135</v>
      </c>
      <c r="H17" s="8">
        <v>1</v>
      </c>
      <c r="I17" s="8">
        <f>TabelaVendas[[#This Row],[ValorUni]]*TabelaVendas[[#This Row],[Quantidade]]</f>
        <v>135</v>
      </c>
    </row>
    <row r="18" spans="2:9">
      <c r="B18" s="8">
        <v>16</v>
      </c>
      <c r="C18" s="8" t="s">
        <v>122</v>
      </c>
      <c r="D18" s="8" t="s">
        <v>92</v>
      </c>
      <c r="E18" s="12">
        <v>43843</v>
      </c>
      <c r="F18" s="8" t="s">
        <v>137</v>
      </c>
      <c r="G18" s="8">
        <v>2966</v>
      </c>
      <c r="H18" s="8">
        <v>2</v>
      </c>
      <c r="I18" s="8">
        <f>TabelaVendas[[#This Row],[ValorUni]]*TabelaVendas[[#This Row],[Quantidade]]</f>
        <v>5932</v>
      </c>
    </row>
    <row r="19" spans="2:9">
      <c r="B19" s="8">
        <v>17</v>
      </c>
      <c r="C19" s="8" t="s">
        <v>121</v>
      </c>
      <c r="D19" s="8" t="s">
        <v>43</v>
      </c>
      <c r="E19" s="12">
        <v>43478</v>
      </c>
      <c r="F19" s="8" t="s">
        <v>137</v>
      </c>
      <c r="G19" s="8">
        <v>8852</v>
      </c>
      <c r="H19" s="8">
        <v>3</v>
      </c>
      <c r="I19" s="8">
        <f>TabelaVendas[[#This Row],[ValorUni]]*TabelaVendas[[#This Row],[Quantidade]]</f>
        <v>26556</v>
      </c>
    </row>
    <row r="20" spans="2:9">
      <c r="B20" s="8">
        <v>18</v>
      </c>
      <c r="C20" s="8" t="s">
        <v>121</v>
      </c>
      <c r="D20" s="8" t="s">
        <v>95</v>
      </c>
      <c r="E20" s="12">
        <v>43479</v>
      </c>
      <c r="F20" s="8" t="s">
        <v>137</v>
      </c>
      <c r="G20" s="8">
        <v>4255</v>
      </c>
      <c r="H20" s="8">
        <v>3</v>
      </c>
      <c r="I20" s="8">
        <f>TabelaVendas[[#This Row],[ValorUni]]*TabelaVendas[[#This Row],[Quantidade]]</f>
        <v>12765</v>
      </c>
    </row>
    <row r="21" spans="2:9">
      <c r="B21" s="8">
        <v>19</v>
      </c>
      <c r="C21" s="8" t="s">
        <v>125</v>
      </c>
      <c r="D21" s="8" t="s">
        <v>91</v>
      </c>
      <c r="E21" s="12">
        <v>43479</v>
      </c>
      <c r="F21" s="8" t="s">
        <v>129</v>
      </c>
      <c r="G21" s="8">
        <v>188</v>
      </c>
      <c r="H21" s="8">
        <v>1</v>
      </c>
      <c r="I21" s="8">
        <f>TabelaVendas[[#This Row],[ValorUni]]*TabelaVendas[[#This Row],[Quantidade]]</f>
        <v>188</v>
      </c>
    </row>
    <row r="22" spans="2:9">
      <c r="B22" s="8">
        <v>20</v>
      </c>
      <c r="C22" s="8" t="s">
        <v>124</v>
      </c>
      <c r="D22" s="8" t="s">
        <v>100</v>
      </c>
      <c r="E22" s="12">
        <v>43115</v>
      </c>
      <c r="F22" s="8" t="s">
        <v>133</v>
      </c>
      <c r="G22" s="8">
        <v>9201</v>
      </c>
      <c r="H22" s="8">
        <v>3</v>
      </c>
      <c r="I22" s="8">
        <f>TabelaVendas[[#This Row],[ValorUni]]*TabelaVendas[[#This Row],[Quantidade]]</f>
        <v>27603</v>
      </c>
    </row>
    <row r="23" spans="2:9">
      <c r="B23" s="8">
        <v>21</v>
      </c>
      <c r="C23" s="8" t="s">
        <v>118</v>
      </c>
      <c r="D23" s="8" t="s">
        <v>47</v>
      </c>
      <c r="E23" s="12">
        <v>43482</v>
      </c>
      <c r="F23" s="8" t="s">
        <v>134</v>
      </c>
      <c r="G23" s="8">
        <v>4255</v>
      </c>
      <c r="H23" s="8">
        <v>1</v>
      </c>
      <c r="I23" s="8">
        <f>TabelaVendas[[#This Row],[ValorUni]]*TabelaVendas[[#This Row],[Quantidade]]</f>
        <v>4255</v>
      </c>
    </row>
    <row r="24" spans="2:9">
      <c r="B24" s="8">
        <v>22</v>
      </c>
      <c r="C24" s="8" t="s">
        <v>117</v>
      </c>
      <c r="D24" s="8" t="s">
        <v>39</v>
      </c>
      <c r="E24" s="12">
        <v>43847</v>
      </c>
      <c r="F24" s="8" t="s">
        <v>135</v>
      </c>
      <c r="G24" s="8">
        <v>7658</v>
      </c>
      <c r="H24" s="8">
        <v>3</v>
      </c>
      <c r="I24" s="8">
        <f>TabelaVendas[[#This Row],[ValorUni]]*TabelaVendas[[#This Row],[Quantidade]]</f>
        <v>22974</v>
      </c>
    </row>
    <row r="25" spans="2:9">
      <c r="B25" s="8">
        <v>23</v>
      </c>
      <c r="C25" s="8" t="s">
        <v>117</v>
      </c>
      <c r="D25" s="8" t="s">
        <v>30</v>
      </c>
      <c r="E25" s="12">
        <v>43117</v>
      </c>
      <c r="F25" s="8" t="s">
        <v>130</v>
      </c>
      <c r="G25" s="8">
        <v>115</v>
      </c>
      <c r="H25" s="8">
        <v>1</v>
      </c>
      <c r="I25" s="8">
        <f>TabelaVendas[[#This Row],[ValorUni]]*TabelaVendas[[#This Row],[Quantidade]]</f>
        <v>115</v>
      </c>
    </row>
    <row r="26" spans="2:9">
      <c r="B26" s="8">
        <v>24</v>
      </c>
      <c r="C26" s="8" t="s">
        <v>116</v>
      </c>
      <c r="D26" s="8" t="s">
        <v>82</v>
      </c>
      <c r="E26" s="12">
        <v>43483</v>
      </c>
      <c r="F26" s="8" t="s">
        <v>134</v>
      </c>
      <c r="G26" s="8">
        <v>4255</v>
      </c>
      <c r="H26" s="8">
        <v>1</v>
      </c>
      <c r="I26" s="8">
        <f>TabelaVendas[[#This Row],[ValorUni]]*TabelaVendas[[#This Row],[Quantidade]]</f>
        <v>4255</v>
      </c>
    </row>
    <row r="27" spans="2:9">
      <c r="B27" s="8">
        <v>25</v>
      </c>
      <c r="C27" s="8" t="s">
        <v>117</v>
      </c>
      <c r="D27" s="8" t="s">
        <v>95</v>
      </c>
      <c r="E27" s="12">
        <v>43484</v>
      </c>
      <c r="F27" s="8" t="s">
        <v>136</v>
      </c>
      <c r="G27" s="8">
        <v>2966</v>
      </c>
      <c r="H27" s="8">
        <v>2</v>
      </c>
      <c r="I27" s="8">
        <f>TabelaVendas[[#This Row],[ValorUni]]*TabelaVendas[[#This Row],[Quantidade]]</f>
        <v>5932</v>
      </c>
    </row>
    <row r="28" spans="2:9">
      <c r="B28" s="8">
        <v>26</v>
      </c>
      <c r="C28" s="8" t="s">
        <v>117</v>
      </c>
      <c r="D28" s="8" t="s">
        <v>39</v>
      </c>
      <c r="E28" s="12">
        <v>43121</v>
      </c>
      <c r="F28" s="8" t="s">
        <v>136</v>
      </c>
      <c r="G28" s="8">
        <v>2966</v>
      </c>
      <c r="H28" s="8">
        <v>1</v>
      </c>
      <c r="I28" s="8">
        <f>TabelaVendas[[#This Row],[ValorUni]]*TabelaVendas[[#This Row],[Quantidade]]</f>
        <v>2966</v>
      </c>
    </row>
    <row r="29" spans="2:9">
      <c r="B29" s="8">
        <v>27</v>
      </c>
      <c r="C29" s="8" t="s">
        <v>124</v>
      </c>
      <c r="D29" s="8" t="s">
        <v>106</v>
      </c>
      <c r="E29" s="12">
        <v>43121</v>
      </c>
      <c r="F29" s="8" t="s">
        <v>131</v>
      </c>
      <c r="G29" s="8">
        <v>135</v>
      </c>
      <c r="H29" s="8">
        <v>3</v>
      </c>
      <c r="I29" s="8">
        <f>TabelaVendas[[#This Row],[ValorUni]]*TabelaVendas[[#This Row],[Quantidade]]</f>
        <v>405</v>
      </c>
    </row>
    <row r="30" spans="2:9">
      <c r="B30" s="8">
        <v>28</v>
      </c>
      <c r="C30" s="8" t="s">
        <v>122</v>
      </c>
      <c r="D30" s="8" t="s">
        <v>91</v>
      </c>
      <c r="E30" s="12">
        <v>43852</v>
      </c>
      <c r="F30" s="8" t="s">
        <v>136</v>
      </c>
      <c r="G30" s="8">
        <v>2966</v>
      </c>
      <c r="H30" s="8">
        <v>3</v>
      </c>
      <c r="I30" s="8">
        <f>TabelaVendas[[#This Row],[ValorUni]]*TabelaVendas[[#This Row],[Quantidade]]</f>
        <v>8898</v>
      </c>
    </row>
    <row r="31" spans="2:9">
      <c r="B31" s="8">
        <v>29</v>
      </c>
      <c r="C31" s="8" t="s">
        <v>116</v>
      </c>
      <c r="D31" s="8" t="s">
        <v>47</v>
      </c>
      <c r="E31" s="12">
        <v>43122</v>
      </c>
      <c r="F31" s="8" t="s">
        <v>133</v>
      </c>
      <c r="G31" s="8">
        <v>9201</v>
      </c>
      <c r="H31" s="8">
        <v>1</v>
      </c>
      <c r="I31" s="8">
        <f>TabelaVendas[[#This Row],[ValorUni]]*TabelaVendas[[#This Row],[Quantidade]]</f>
        <v>9201</v>
      </c>
    </row>
    <row r="32" spans="2:9">
      <c r="B32" s="8">
        <v>30</v>
      </c>
      <c r="C32" s="8" t="s">
        <v>119</v>
      </c>
      <c r="D32" s="8" t="s">
        <v>95</v>
      </c>
      <c r="E32" s="12">
        <v>43488</v>
      </c>
      <c r="F32" s="8" t="s">
        <v>137</v>
      </c>
      <c r="G32" s="8">
        <v>2955</v>
      </c>
      <c r="H32" s="8">
        <v>2</v>
      </c>
      <c r="I32" s="8">
        <f>TabelaVendas[[#This Row],[ValorUni]]*TabelaVendas[[#This Row],[Quantidade]]</f>
        <v>5910</v>
      </c>
    </row>
    <row r="33" spans="2:9">
      <c r="B33" s="8">
        <v>31</v>
      </c>
      <c r="C33" s="8" t="s">
        <v>116</v>
      </c>
      <c r="D33" s="8" t="s">
        <v>115</v>
      </c>
      <c r="E33" s="12">
        <v>43123</v>
      </c>
      <c r="F33" s="8" t="s">
        <v>131</v>
      </c>
      <c r="G33" s="8">
        <v>135</v>
      </c>
      <c r="H33" s="8">
        <v>1</v>
      </c>
      <c r="I33" s="8">
        <f>TabelaVendas[[#This Row],[ValorUni]]*TabelaVendas[[#This Row],[Quantidade]]</f>
        <v>135</v>
      </c>
    </row>
    <row r="34" spans="2:9">
      <c r="B34" s="8">
        <v>32</v>
      </c>
      <c r="C34" s="8" t="s">
        <v>116</v>
      </c>
      <c r="D34" s="8" t="s">
        <v>43</v>
      </c>
      <c r="E34" s="12">
        <v>43854</v>
      </c>
      <c r="F34" s="8" t="s">
        <v>134</v>
      </c>
      <c r="G34" s="8">
        <v>4255</v>
      </c>
      <c r="H34" s="8">
        <v>3</v>
      </c>
      <c r="I34" s="8">
        <f>TabelaVendas[[#This Row],[ValorUni]]*TabelaVendas[[#This Row],[Quantidade]]</f>
        <v>12765</v>
      </c>
    </row>
    <row r="35" spans="2:9">
      <c r="B35" s="8">
        <v>33</v>
      </c>
      <c r="C35" s="8" t="s">
        <v>116</v>
      </c>
      <c r="D35" s="8" t="s">
        <v>32</v>
      </c>
      <c r="E35" s="12">
        <v>43489</v>
      </c>
      <c r="F35" s="8" t="s">
        <v>128</v>
      </c>
      <c r="G35" s="8">
        <v>155</v>
      </c>
      <c r="H35" s="8">
        <v>3</v>
      </c>
      <c r="I35" s="8">
        <f>TabelaVendas[[#This Row],[ValorUni]]*TabelaVendas[[#This Row],[Quantidade]]</f>
        <v>465</v>
      </c>
    </row>
    <row r="36" spans="2:9">
      <c r="B36" s="8">
        <v>34</v>
      </c>
      <c r="C36" s="8" t="s">
        <v>119</v>
      </c>
      <c r="D36" s="8" t="s">
        <v>39</v>
      </c>
      <c r="E36" s="12">
        <v>43854</v>
      </c>
      <c r="F36" s="8" t="s">
        <v>128</v>
      </c>
      <c r="G36" s="8">
        <v>155</v>
      </c>
      <c r="H36" s="8">
        <v>2</v>
      </c>
      <c r="I36" s="8">
        <f>TabelaVendas[[#This Row],[ValorUni]]*TabelaVendas[[#This Row],[Quantidade]]</f>
        <v>310</v>
      </c>
    </row>
    <row r="37" spans="2:9">
      <c r="B37" s="8">
        <v>35</v>
      </c>
      <c r="C37" s="8" t="s">
        <v>116</v>
      </c>
      <c r="D37" s="8" t="s">
        <v>47</v>
      </c>
      <c r="E37" s="12">
        <v>43856</v>
      </c>
      <c r="F37" s="8" t="s">
        <v>128</v>
      </c>
      <c r="G37" s="8">
        <v>155</v>
      </c>
      <c r="H37" s="8">
        <v>2</v>
      </c>
      <c r="I37" s="8">
        <f>TabelaVendas[[#This Row],[ValorUni]]*TabelaVendas[[#This Row],[Quantidade]]</f>
        <v>310</v>
      </c>
    </row>
    <row r="38" spans="2:9">
      <c r="B38" s="8">
        <v>36</v>
      </c>
      <c r="C38" s="8" t="s">
        <v>121</v>
      </c>
      <c r="D38" s="8" t="s">
        <v>46</v>
      </c>
      <c r="E38" s="12">
        <v>43492</v>
      </c>
      <c r="F38" s="8" t="s">
        <v>135</v>
      </c>
      <c r="G38" s="8">
        <v>7658</v>
      </c>
      <c r="H38" s="8">
        <v>1</v>
      </c>
      <c r="I38" s="8">
        <f>TabelaVendas[[#This Row],[ValorUni]]*TabelaVendas[[#This Row],[Quantidade]]</f>
        <v>7658</v>
      </c>
    </row>
    <row r="39" spans="2:9">
      <c r="B39" s="8">
        <v>37</v>
      </c>
      <c r="C39" s="8" t="s">
        <v>121</v>
      </c>
      <c r="D39" s="8" t="s">
        <v>92</v>
      </c>
      <c r="E39" s="12">
        <v>43127</v>
      </c>
      <c r="F39" s="8" t="s">
        <v>128</v>
      </c>
      <c r="G39" s="8">
        <v>155</v>
      </c>
      <c r="H39" s="8">
        <v>3</v>
      </c>
      <c r="I39" s="8">
        <f>TabelaVendas[[#This Row],[ValorUni]]*TabelaVendas[[#This Row],[Quantidade]]</f>
        <v>465</v>
      </c>
    </row>
    <row r="40" spans="2:9">
      <c r="B40" s="8">
        <v>38</v>
      </c>
      <c r="C40" s="8" t="s">
        <v>117</v>
      </c>
      <c r="D40" s="8" t="s">
        <v>47</v>
      </c>
      <c r="E40" s="12">
        <v>43857</v>
      </c>
      <c r="F40" s="8" t="s">
        <v>137</v>
      </c>
      <c r="G40" s="8">
        <v>8852</v>
      </c>
      <c r="H40" s="8">
        <v>3</v>
      </c>
      <c r="I40" s="8">
        <f>TabelaVendas[[#This Row],[ValorUni]]*TabelaVendas[[#This Row],[Quantidade]]</f>
        <v>26556</v>
      </c>
    </row>
    <row r="41" spans="2:9">
      <c r="B41" s="8">
        <v>39</v>
      </c>
      <c r="C41" s="8" t="s">
        <v>121</v>
      </c>
      <c r="D41" s="8" t="s">
        <v>106</v>
      </c>
      <c r="E41" s="12">
        <v>43857</v>
      </c>
      <c r="F41" s="8" t="s">
        <v>137</v>
      </c>
      <c r="G41" s="8">
        <v>135</v>
      </c>
      <c r="H41" s="8">
        <v>3</v>
      </c>
      <c r="I41" s="8">
        <f>TabelaVendas[[#This Row],[ValorUni]]*TabelaVendas[[#This Row],[Quantidade]]</f>
        <v>405</v>
      </c>
    </row>
    <row r="42" spans="2:9">
      <c r="B42" s="8">
        <v>40</v>
      </c>
      <c r="C42" s="8" t="s">
        <v>120</v>
      </c>
      <c r="D42" s="8" t="s">
        <v>17</v>
      </c>
      <c r="E42" s="12">
        <v>43494</v>
      </c>
      <c r="F42" s="8" t="s">
        <v>137</v>
      </c>
      <c r="G42" s="8">
        <v>188</v>
      </c>
      <c r="H42" s="8">
        <v>1</v>
      </c>
      <c r="I42" s="8">
        <f>TabelaVendas[[#This Row],[ValorUni]]*TabelaVendas[[#This Row],[Quantidade]]</f>
        <v>188</v>
      </c>
    </row>
    <row r="43" spans="2:9">
      <c r="B43" s="8">
        <v>41</v>
      </c>
      <c r="C43" s="8" t="s">
        <v>117</v>
      </c>
      <c r="D43" s="8" t="s">
        <v>115</v>
      </c>
      <c r="E43" s="12">
        <v>43130</v>
      </c>
      <c r="F43" s="8" t="s">
        <v>137</v>
      </c>
      <c r="G43" s="8">
        <v>9201</v>
      </c>
      <c r="H43" s="8">
        <v>3</v>
      </c>
      <c r="I43" s="8">
        <f>TabelaVendas[[#This Row],[ValorUni]]*TabelaVendas[[#This Row],[Quantidade]]</f>
        <v>27603</v>
      </c>
    </row>
    <row r="44" spans="2:9">
      <c r="B44" s="8">
        <v>42</v>
      </c>
      <c r="C44" s="8" t="s">
        <v>116</v>
      </c>
      <c r="D44" s="8" t="s">
        <v>52</v>
      </c>
      <c r="E44" s="12">
        <v>43130</v>
      </c>
      <c r="F44" s="8" t="s">
        <v>136</v>
      </c>
      <c r="G44" s="8">
        <v>2966</v>
      </c>
      <c r="H44" s="8">
        <v>1</v>
      </c>
      <c r="I44" s="8">
        <f>TabelaVendas[[#This Row],[ValorUni]]*TabelaVendas[[#This Row],[Quantidade]]</f>
        <v>2966</v>
      </c>
    </row>
    <row r="45" spans="2:9">
      <c r="B45" s="8">
        <v>43</v>
      </c>
      <c r="C45" s="8" t="s">
        <v>118</v>
      </c>
      <c r="D45" s="8" t="s">
        <v>47</v>
      </c>
      <c r="E45" s="12">
        <v>43497</v>
      </c>
      <c r="F45" s="8" t="s">
        <v>130</v>
      </c>
      <c r="G45" s="8">
        <v>115</v>
      </c>
      <c r="H45" s="8">
        <v>1</v>
      </c>
      <c r="I45" s="8">
        <f>TabelaVendas[[#This Row],[ValorUni]]*TabelaVendas[[#This Row],[Quantidade]]</f>
        <v>115</v>
      </c>
    </row>
    <row r="46" spans="2:9">
      <c r="B46" s="8">
        <v>44</v>
      </c>
      <c r="C46" s="8" t="s">
        <v>117</v>
      </c>
      <c r="D46" s="8" t="s">
        <v>47</v>
      </c>
      <c r="E46" s="12">
        <v>43498</v>
      </c>
      <c r="F46" s="8" t="s">
        <v>129</v>
      </c>
      <c r="G46" s="8">
        <v>188</v>
      </c>
      <c r="H46" s="8">
        <v>3</v>
      </c>
      <c r="I46" s="8">
        <f>TabelaVendas[[#This Row],[ValorUni]]*TabelaVendas[[#This Row],[Quantidade]]</f>
        <v>564</v>
      </c>
    </row>
    <row r="47" spans="2:9">
      <c r="B47" s="8">
        <v>45</v>
      </c>
      <c r="C47" s="8" t="s">
        <v>116</v>
      </c>
      <c r="D47" s="8" t="s">
        <v>47</v>
      </c>
      <c r="E47" s="12">
        <v>43498</v>
      </c>
      <c r="F47" s="8" t="s">
        <v>133</v>
      </c>
      <c r="G47" s="8">
        <v>9201</v>
      </c>
      <c r="H47" s="8">
        <v>1</v>
      </c>
      <c r="I47" s="8">
        <f>TabelaVendas[[#This Row],[ValorUni]]*TabelaVendas[[#This Row],[Quantidade]]</f>
        <v>9201</v>
      </c>
    </row>
    <row r="48" spans="2:9">
      <c r="B48" s="8">
        <v>46</v>
      </c>
      <c r="C48" s="8" t="s">
        <v>123</v>
      </c>
      <c r="D48" s="8" t="s">
        <v>47</v>
      </c>
      <c r="E48" s="12">
        <v>43499</v>
      </c>
      <c r="F48" s="8" t="s">
        <v>134</v>
      </c>
      <c r="G48" s="8">
        <v>4255</v>
      </c>
      <c r="H48" s="8">
        <v>1</v>
      </c>
      <c r="I48" s="8">
        <f>TabelaVendas[[#This Row],[ValorUni]]*TabelaVendas[[#This Row],[Quantidade]]</f>
        <v>4255</v>
      </c>
    </row>
    <row r="49" spans="2:9">
      <c r="B49" s="8">
        <v>47</v>
      </c>
      <c r="C49" s="8" t="s">
        <v>119</v>
      </c>
      <c r="D49" s="8" t="s">
        <v>50</v>
      </c>
      <c r="E49" s="12">
        <v>43866</v>
      </c>
      <c r="F49" s="8" t="s">
        <v>135</v>
      </c>
      <c r="G49" s="8">
        <v>7658</v>
      </c>
      <c r="H49" s="8">
        <v>1</v>
      </c>
      <c r="I49" s="8">
        <f>TabelaVendas[[#This Row],[ValorUni]]*TabelaVendas[[#This Row],[Quantidade]]</f>
        <v>7658</v>
      </c>
    </row>
    <row r="50" spans="2:9">
      <c r="B50" s="8">
        <v>48</v>
      </c>
      <c r="C50" s="8" t="s">
        <v>125</v>
      </c>
      <c r="D50" s="8" t="s">
        <v>82</v>
      </c>
      <c r="E50" s="12">
        <v>43139</v>
      </c>
      <c r="F50" s="8" t="s">
        <v>136</v>
      </c>
      <c r="G50" s="8">
        <v>2966</v>
      </c>
      <c r="H50" s="8">
        <v>1</v>
      </c>
      <c r="I50" s="8">
        <f>TabelaVendas[[#This Row],[ValorUni]]*TabelaVendas[[#This Row],[Quantidade]]</f>
        <v>2966</v>
      </c>
    </row>
    <row r="51" spans="2:9">
      <c r="B51" s="8">
        <v>49</v>
      </c>
      <c r="C51" s="8" t="s">
        <v>119</v>
      </c>
      <c r="D51" s="8" t="s">
        <v>52</v>
      </c>
      <c r="E51" s="12">
        <v>43870</v>
      </c>
      <c r="F51" s="8" t="s">
        <v>137</v>
      </c>
      <c r="G51" s="8">
        <v>2955</v>
      </c>
      <c r="H51" s="8">
        <v>1</v>
      </c>
      <c r="I51" s="8">
        <f>TabelaVendas[[#This Row],[ValorUni]]*TabelaVendas[[#This Row],[Quantidade]]</f>
        <v>2955</v>
      </c>
    </row>
    <row r="52" spans="2:9">
      <c r="B52" s="8">
        <v>50</v>
      </c>
      <c r="C52" s="8" t="s">
        <v>121</v>
      </c>
      <c r="D52" s="8" t="s">
        <v>32</v>
      </c>
      <c r="E52" s="12">
        <v>43870</v>
      </c>
      <c r="F52" s="8" t="s">
        <v>134</v>
      </c>
      <c r="G52" s="8">
        <v>4255</v>
      </c>
      <c r="H52" s="8">
        <v>3</v>
      </c>
      <c r="I52" s="8">
        <f>TabelaVendas[[#This Row],[ValorUni]]*TabelaVendas[[#This Row],[Quantidade]]</f>
        <v>12765</v>
      </c>
    </row>
    <row r="53" spans="2:9">
      <c r="B53" s="8">
        <v>51</v>
      </c>
      <c r="C53" s="8" t="s">
        <v>121</v>
      </c>
      <c r="D53" s="8" t="s">
        <v>115</v>
      </c>
      <c r="E53" s="12">
        <v>43505</v>
      </c>
      <c r="F53" s="8" t="s">
        <v>133</v>
      </c>
      <c r="G53" s="8">
        <v>9201</v>
      </c>
      <c r="H53" s="8">
        <v>1</v>
      </c>
      <c r="I53" s="8">
        <f>TabelaVendas[[#This Row],[ValorUni]]*TabelaVendas[[#This Row],[Quantidade]]</f>
        <v>9201</v>
      </c>
    </row>
    <row r="54" spans="2:9">
      <c r="B54" s="8">
        <v>52</v>
      </c>
      <c r="C54" s="8" t="s">
        <v>118</v>
      </c>
      <c r="D54" s="8" t="s">
        <v>61</v>
      </c>
      <c r="E54" s="12">
        <v>43506</v>
      </c>
      <c r="F54" s="8" t="s">
        <v>129</v>
      </c>
      <c r="G54" s="8">
        <v>188</v>
      </c>
      <c r="H54" s="8">
        <v>1</v>
      </c>
      <c r="I54" s="8">
        <f>TabelaVendas[[#This Row],[ValorUni]]*TabelaVendas[[#This Row],[Quantidade]]</f>
        <v>188</v>
      </c>
    </row>
    <row r="55" spans="2:9">
      <c r="B55" s="8">
        <v>53</v>
      </c>
      <c r="C55" s="8" t="s">
        <v>122</v>
      </c>
      <c r="D55" s="8" t="s">
        <v>88</v>
      </c>
      <c r="E55" s="12">
        <v>43141</v>
      </c>
      <c r="F55" s="8" t="s">
        <v>130</v>
      </c>
      <c r="G55" s="8">
        <v>115</v>
      </c>
      <c r="H55" s="8">
        <v>3</v>
      </c>
      <c r="I55" s="8">
        <f>TabelaVendas[[#This Row],[ValorUni]]*TabelaVendas[[#This Row],[Quantidade]]</f>
        <v>345</v>
      </c>
    </row>
    <row r="56" spans="2:9">
      <c r="B56" s="8">
        <v>54</v>
      </c>
      <c r="C56" s="8" t="s">
        <v>116</v>
      </c>
      <c r="D56" s="8" t="s">
        <v>95</v>
      </c>
      <c r="E56" s="12">
        <v>43142</v>
      </c>
      <c r="F56" s="8" t="s">
        <v>130</v>
      </c>
      <c r="G56" s="8">
        <v>115</v>
      </c>
      <c r="H56" s="8">
        <v>3</v>
      </c>
      <c r="I56" s="8">
        <f>TabelaVendas[[#This Row],[ValorUni]]*TabelaVendas[[#This Row],[Quantidade]]</f>
        <v>345</v>
      </c>
    </row>
    <row r="57" spans="2:9">
      <c r="B57" s="8">
        <v>55</v>
      </c>
      <c r="C57" s="8" t="s">
        <v>116</v>
      </c>
      <c r="D57" s="8" t="s">
        <v>95</v>
      </c>
      <c r="E57" s="12">
        <v>43142</v>
      </c>
      <c r="F57" s="8" t="s">
        <v>129</v>
      </c>
      <c r="G57" s="8">
        <v>188</v>
      </c>
      <c r="H57" s="8">
        <v>2</v>
      </c>
      <c r="I57" s="8">
        <f>TabelaVendas[[#This Row],[ValorUni]]*TabelaVendas[[#This Row],[Quantidade]]</f>
        <v>376</v>
      </c>
    </row>
    <row r="58" spans="2:9">
      <c r="B58" s="8">
        <v>56</v>
      </c>
      <c r="C58" s="8" t="s">
        <v>116</v>
      </c>
      <c r="D58" s="8" t="s">
        <v>95</v>
      </c>
      <c r="E58" s="12">
        <v>43873</v>
      </c>
      <c r="F58" s="8" t="s">
        <v>137</v>
      </c>
      <c r="G58" s="8">
        <v>2955</v>
      </c>
      <c r="H58" s="8">
        <v>1</v>
      </c>
      <c r="I58" s="8">
        <f>TabelaVendas[[#This Row],[ValorUni]]*TabelaVendas[[#This Row],[Quantidade]]</f>
        <v>2955</v>
      </c>
    </row>
    <row r="59" spans="2:9">
      <c r="B59" s="8">
        <v>57</v>
      </c>
      <c r="C59" s="8" t="s">
        <v>116</v>
      </c>
      <c r="D59" s="8" t="s">
        <v>39</v>
      </c>
      <c r="E59" s="12">
        <v>43874</v>
      </c>
      <c r="F59" s="8" t="s">
        <v>129</v>
      </c>
      <c r="G59" s="8">
        <v>188</v>
      </c>
      <c r="H59" s="8">
        <v>2</v>
      </c>
      <c r="I59" s="8">
        <f>TabelaVendas[[#This Row],[ValorUni]]*TabelaVendas[[#This Row],[Quantidade]]</f>
        <v>376</v>
      </c>
    </row>
    <row r="60" spans="2:9">
      <c r="B60" s="8">
        <v>58</v>
      </c>
      <c r="C60" s="8" t="s">
        <v>118</v>
      </c>
      <c r="D60" s="8" t="s">
        <v>58</v>
      </c>
      <c r="E60" s="12">
        <v>43874</v>
      </c>
      <c r="F60" s="8" t="s">
        <v>134</v>
      </c>
      <c r="G60" s="8">
        <v>4255</v>
      </c>
      <c r="H60" s="8">
        <v>3</v>
      </c>
      <c r="I60" s="8">
        <f>TabelaVendas[[#This Row],[ValorUni]]*TabelaVendas[[#This Row],[Quantidade]]</f>
        <v>12765</v>
      </c>
    </row>
    <row r="61" spans="2:9">
      <c r="B61" s="8">
        <v>59</v>
      </c>
      <c r="C61" s="8" t="s">
        <v>124</v>
      </c>
      <c r="D61" s="8" t="s">
        <v>43</v>
      </c>
      <c r="E61" s="12">
        <v>43875</v>
      </c>
      <c r="F61" s="8" t="s">
        <v>129</v>
      </c>
      <c r="G61" s="8">
        <v>188</v>
      </c>
      <c r="H61" s="8">
        <v>3</v>
      </c>
      <c r="I61" s="8">
        <f>TabelaVendas[[#This Row],[ValorUni]]*TabelaVendas[[#This Row],[Quantidade]]</f>
        <v>564</v>
      </c>
    </row>
    <row r="62" spans="2:9">
      <c r="B62" s="8">
        <v>60</v>
      </c>
      <c r="C62" s="8" t="s">
        <v>119</v>
      </c>
      <c r="D62" s="8" t="s">
        <v>66</v>
      </c>
      <c r="E62" s="12">
        <v>43145</v>
      </c>
      <c r="F62" s="8" t="s">
        <v>134</v>
      </c>
      <c r="G62" s="8">
        <v>4255</v>
      </c>
      <c r="H62" s="8">
        <v>2</v>
      </c>
      <c r="I62" s="8">
        <f>TabelaVendas[[#This Row],[ValorUni]]*TabelaVendas[[#This Row],[Quantidade]]</f>
        <v>8510</v>
      </c>
    </row>
    <row r="63" spans="2:9">
      <c r="B63" s="8">
        <v>61</v>
      </c>
      <c r="C63" s="8" t="s">
        <v>117</v>
      </c>
      <c r="D63" s="8" t="s">
        <v>52</v>
      </c>
      <c r="E63" s="12">
        <v>43511</v>
      </c>
      <c r="F63" s="8" t="s">
        <v>130</v>
      </c>
      <c r="G63" s="8">
        <v>115</v>
      </c>
      <c r="H63" s="8">
        <v>1</v>
      </c>
      <c r="I63" s="8">
        <f>TabelaVendas[[#This Row],[ValorUni]]*TabelaVendas[[#This Row],[Quantidade]]</f>
        <v>115</v>
      </c>
    </row>
    <row r="64" spans="2:9">
      <c r="B64" s="8">
        <v>62</v>
      </c>
      <c r="C64" s="8" t="s">
        <v>125</v>
      </c>
      <c r="D64" s="8" t="s">
        <v>47</v>
      </c>
      <c r="E64" s="12">
        <v>43150</v>
      </c>
      <c r="F64" s="8" t="s">
        <v>132</v>
      </c>
      <c r="G64" s="8">
        <v>8852</v>
      </c>
      <c r="H64" s="8">
        <v>2</v>
      </c>
      <c r="I64" s="8">
        <f>TabelaVendas[[#This Row],[ValorUni]]*TabelaVendas[[#This Row],[Quantidade]]</f>
        <v>17704</v>
      </c>
    </row>
    <row r="65" spans="2:9">
      <c r="B65" s="8">
        <v>63</v>
      </c>
      <c r="C65" s="8" t="s">
        <v>125</v>
      </c>
      <c r="D65" s="8" t="s">
        <v>47</v>
      </c>
      <c r="E65" s="12">
        <v>43151</v>
      </c>
      <c r="F65" s="8" t="s">
        <v>130</v>
      </c>
      <c r="G65" s="8">
        <v>115</v>
      </c>
      <c r="H65" s="8">
        <v>3</v>
      </c>
      <c r="I65" s="8">
        <f>TabelaVendas[[#This Row],[ValorUni]]*TabelaVendas[[#This Row],[Quantidade]]</f>
        <v>345</v>
      </c>
    </row>
    <row r="66" spans="2:9">
      <c r="B66" s="8">
        <v>64</v>
      </c>
      <c r="C66" s="8" t="s">
        <v>122</v>
      </c>
      <c r="D66" s="8" t="s">
        <v>47</v>
      </c>
      <c r="E66" s="12">
        <v>43882</v>
      </c>
      <c r="F66" s="8" t="s">
        <v>130</v>
      </c>
      <c r="G66" s="8">
        <v>115</v>
      </c>
      <c r="H66" s="8">
        <v>3</v>
      </c>
      <c r="I66" s="8">
        <f>TabelaVendas[[#This Row],[ValorUni]]*TabelaVendas[[#This Row],[Quantidade]]</f>
        <v>345</v>
      </c>
    </row>
    <row r="67" spans="2:9">
      <c r="B67" s="8">
        <v>65</v>
      </c>
      <c r="C67" s="8" t="s">
        <v>121</v>
      </c>
      <c r="D67" s="8" t="s">
        <v>47</v>
      </c>
      <c r="E67" s="12">
        <v>43517</v>
      </c>
      <c r="F67" s="8" t="s">
        <v>136</v>
      </c>
      <c r="G67" s="8">
        <v>2966</v>
      </c>
      <c r="H67" s="8">
        <v>1</v>
      </c>
      <c r="I67" s="8">
        <f>TabelaVendas[[#This Row],[ValorUni]]*TabelaVendas[[#This Row],[Quantidade]]</f>
        <v>2966</v>
      </c>
    </row>
    <row r="68" spans="2:9">
      <c r="B68" s="8">
        <v>66</v>
      </c>
      <c r="C68" s="8" t="s">
        <v>121</v>
      </c>
      <c r="D68" s="8" t="s">
        <v>15</v>
      </c>
      <c r="E68" s="12">
        <v>43517</v>
      </c>
      <c r="F68" s="8" t="s">
        <v>136</v>
      </c>
      <c r="G68" s="8">
        <v>2966</v>
      </c>
      <c r="H68" s="8">
        <v>2</v>
      </c>
      <c r="I68" s="8">
        <f>TabelaVendas[[#This Row],[ValorUni]]*TabelaVendas[[#This Row],[Quantidade]]</f>
        <v>5932</v>
      </c>
    </row>
    <row r="69" spans="2:9">
      <c r="B69" s="8">
        <v>67</v>
      </c>
      <c r="C69" s="8" t="s">
        <v>119</v>
      </c>
      <c r="D69" s="8" t="s">
        <v>91</v>
      </c>
      <c r="E69" s="12">
        <v>43883</v>
      </c>
      <c r="F69" s="8" t="s">
        <v>136</v>
      </c>
      <c r="G69" s="8">
        <v>2966</v>
      </c>
      <c r="H69" s="8">
        <v>3</v>
      </c>
      <c r="I69" s="8">
        <f>TabelaVendas[[#This Row],[ValorUni]]*TabelaVendas[[#This Row],[Quantidade]]</f>
        <v>8898</v>
      </c>
    </row>
    <row r="70" spans="2:9">
      <c r="B70" s="8">
        <v>68</v>
      </c>
      <c r="C70" s="8" t="s">
        <v>120</v>
      </c>
      <c r="D70" s="8" t="s">
        <v>17</v>
      </c>
      <c r="E70" s="12">
        <v>43520</v>
      </c>
      <c r="F70" s="8" t="s">
        <v>136</v>
      </c>
      <c r="G70" s="8">
        <v>2966</v>
      </c>
      <c r="H70" s="8">
        <v>3</v>
      </c>
      <c r="I70" s="8">
        <f>TabelaVendas[[#This Row],[ValorUni]]*TabelaVendas[[#This Row],[Quantidade]]</f>
        <v>8898</v>
      </c>
    </row>
    <row r="71" spans="2:9">
      <c r="B71" s="8">
        <v>69</v>
      </c>
      <c r="C71" s="8" t="s">
        <v>118</v>
      </c>
      <c r="D71" s="8" t="s">
        <v>52</v>
      </c>
      <c r="E71" s="12">
        <v>43520</v>
      </c>
      <c r="F71" s="8" t="s">
        <v>136</v>
      </c>
      <c r="G71" s="8">
        <v>2966</v>
      </c>
      <c r="H71" s="8">
        <v>1</v>
      </c>
      <c r="I71" s="8">
        <f>TabelaVendas[[#This Row],[ValorUni]]*TabelaVendas[[#This Row],[Quantidade]]</f>
        <v>2966</v>
      </c>
    </row>
    <row r="72" spans="2:9">
      <c r="B72" s="8">
        <v>70</v>
      </c>
      <c r="C72" s="8" t="s">
        <v>120</v>
      </c>
      <c r="D72" s="8" t="s">
        <v>32</v>
      </c>
      <c r="E72" s="12">
        <v>43885</v>
      </c>
      <c r="F72" s="8" t="s">
        <v>136</v>
      </c>
      <c r="G72" s="8">
        <v>2966</v>
      </c>
      <c r="H72" s="8">
        <v>1</v>
      </c>
      <c r="I72" s="8">
        <f>TabelaVendas[[#This Row],[ValorUni]]*TabelaVendas[[#This Row],[Quantidade]]</f>
        <v>2966</v>
      </c>
    </row>
    <row r="73" spans="2:9">
      <c r="B73" s="8">
        <v>71</v>
      </c>
      <c r="C73" s="8" t="s">
        <v>118</v>
      </c>
      <c r="D73" s="8" t="s">
        <v>61</v>
      </c>
      <c r="E73" s="12">
        <v>43886</v>
      </c>
      <c r="F73" s="8" t="s">
        <v>136</v>
      </c>
      <c r="G73" s="8">
        <v>2966</v>
      </c>
      <c r="H73" s="8">
        <v>1</v>
      </c>
      <c r="I73" s="8">
        <f>TabelaVendas[[#This Row],[ValorUni]]*TabelaVendas[[#This Row],[Quantidade]]</f>
        <v>2966</v>
      </c>
    </row>
    <row r="74" spans="2:9">
      <c r="B74" s="8">
        <v>72</v>
      </c>
      <c r="C74" s="8" t="s">
        <v>119</v>
      </c>
      <c r="D74" s="8" t="s">
        <v>39</v>
      </c>
      <c r="E74" s="12">
        <v>43523</v>
      </c>
      <c r="F74" s="8" t="s">
        <v>136</v>
      </c>
      <c r="G74" s="8">
        <v>2966</v>
      </c>
      <c r="H74" s="8">
        <v>2</v>
      </c>
      <c r="I74" s="8">
        <f>TabelaVendas[[#This Row],[ValorUni]]*TabelaVendas[[#This Row],[Quantidade]]</f>
        <v>5932</v>
      </c>
    </row>
    <row r="75" spans="2:9">
      <c r="B75" s="8">
        <v>73</v>
      </c>
      <c r="C75" s="8" t="s">
        <v>118</v>
      </c>
      <c r="D75" s="8" t="s">
        <v>46</v>
      </c>
      <c r="E75" s="12">
        <v>43523</v>
      </c>
      <c r="F75" s="8" t="s">
        <v>137</v>
      </c>
      <c r="G75" s="8">
        <v>2955</v>
      </c>
      <c r="H75" s="8">
        <v>3</v>
      </c>
      <c r="I75" s="8">
        <f>TabelaVendas[[#This Row],[ValorUni]]*TabelaVendas[[#This Row],[Quantidade]]</f>
        <v>8865</v>
      </c>
    </row>
    <row r="76" spans="2:9">
      <c r="B76" s="8">
        <v>74</v>
      </c>
      <c r="C76" s="8" t="s">
        <v>122</v>
      </c>
      <c r="D76" s="8" t="s">
        <v>18</v>
      </c>
      <c r="E76" s="12">
        <v>43523</v>
      </c>
      <c r="F76" s="8" t="s">
        <v>134</v>
      </c>
      <c r="G76" s="8">
        <v>4255</v>
      </c>
      <c r="H76" s="8">
        <v>2</v>
      </c>
      <c r="I76" s="8">
        <f>TabelaVendas[[#This Row],[ValorUni]]*TabelaVendas[[#This Row],[Quantidade]]</f>
        <v>8510</v>
      </c>
    </row>
    <row r="77" spans="2:9">
      <c r="B77" s="8">
        <v>75</v>
      </c>
      <c r="C77" s="8" t="s">
        <v>125</v>
      </c>
      <c r="D77" s="8" t="s">
        <v>47</v>
      </c>
      <c r="E77" s="12">
        <v>43524</v>
      </c>
      <c r="F77" s="8" t="s">
        <v>133</v>
      </c>
      <c r="G77" s="8">
        <v>9201</v>
      </c>
      <c r="H77" s="8">
        <v>1</v>
      </c>
      <c r="I77" s="8">
        <f>TabelaVendas[[#This Row],[ValorUni]]*TabelaVendas[[#This Row],[Quantidade]]</f>
        <v>9201</v>
      </c>
    </row>
    <row r="78" spans="2:9">
      <c r="B78" s="8">
        <v>76</v>
      </c>
      <c r="C78" s="8" t="s">
        <v>125</v>
      </c>
      <c r="D78" s="8" t="s">
        <v>95</v>
      </c>
      <c r="E78" s="12">
        <v>43526</v>
      </c>
      <c r="F78" s="8" t="s">
        <v>132</v>
      </c>
      <c r="G78" s="8">
        <v>8852</v>
      </c>
      <c r="H78" s="8">
        <v>3</v>
      </c>
      <c r="I78" s="8">
        <f>TabelaVendas[[#This Row],[ValorUni]]*TabelaVendas[[#This Row],[Quantidade]]</f>
        <v>26556</v>
      </c>
    </row>
    <row r="79" spans="2:9">
      <c r="B79" s="8">
        <v>77</v>
      </c>
      <c r="C79" s="8" t="s">
        <v>117</v>
      </c>
      <c r="D79" s="8" t="s">
        <v>46</v>
      </c>
      <c r="E79" s="12">
        <v>43528</v>
      </c>
      <c r="F79" s="8" t="s">
        <v>130</v>
      </c>
      <c r="G79" s="8">
        <v>115</v>
      </c>
      <c r="H79" s="8">
        <v>3</v>
      </c>
      <c r="I79" s="8">
        <f>TabelaVendas[[#This Row],[ValorUni]]*TabelaVendas[[#This Row],[Quantidade]]</f>
        <v>345</v>
      </c>
    </row>
    <row r="80" spans="2:9">
      <c r="B80" s="8">
        <v>78</v>
      </c>
      <c r="C80" s="8" t="s">
        <v>116</v>
      </c>
      <c r="D80" s="8" t="s">
        <v>50</v>
      </c>
      <c r="E80" s="12">
        <v>43528</v>
      </c>
      <c r="F80" s="8" t="s">
        <v>128</v>
      </c>
      <c r="G80" s="8">
        <v>155</v>
      </c>
      <c r="H80" s="8">
        <v>1</v>
      </c>
      <c r="I80" s="8">
        <f>TabelaVendas[[#This Row],[ValorUni]]*TabelaVendas[[#This Row],[Quantidade]]</f>
        <v>155</v>
      </c>
    </row>
    <row r="81" spans="2:9">
      <c r="B81" s="8">
        <v>79</v>
      </c>
      <c r="C81" s="8" t="s">
        <v>116</v>
      </c>
      <c r="D81" s="8" t="s">
        <v>61</v>
      </c>
      <c r="E81" s="12">
        <v>43528</v>
      </c>
      <c r="F81" s="8" t="s">
        <v>136</v>
      </c>
      <c r="G81" s="8">
        <v>2966</v>
      </c>
      <c r="H81" s="8">
        <v>1</v>
      </c>
      <c r="I81" s="8">
        <f>TabelaVendas[[#This Row],[ValorUni]]*TabelaVendas[[#This Row],[Quantidade]]</f>
        <v>2966</v>
      </c>
    </row>
    <row r="82" spans="2:9">
      <c r="B82" s="8">
        <v>80</v>
      </c>
      <c r="C82" s="8" t="s">
        <v>116</v>
      </c>
      <c r="D82" s="8" t="s">
        <v>30</v>
      </c>
      <c r="E82" s="12">
        <v>43528</v>
      </c>
      <c r="F82" s="8" t="s">
        <v>137</v>
      </c>
      <c r="G82" s="8">
        <v>115</v>
      </c>
      <c r="H82" s="8">
        <v>2</v>
      </c>
      <c r="I82" s="8">
        <f>TabelaVendas[[#This Row],[ValorUni]]*TabelaVendas[[#This Row],[Quantidade]]</f>
        <v>230</v>
      </c>
    </row>
    <row r="83" spans="2:9">
      <c r="B83" s="8">
        <v>81</v>
      </c>
      <c r="C83" s="8" t="s">
        <v>116</v>
      </c>
      <c r="D83" s="8" t="s">
        <v>32</v>
      </c>
      <c r="E83" s="12">
        <v>43897</v>
      </c>
      <c r="F83" s="8" t="s">
        <v>137</v>
      </c>
      <c r="G83" s="8">
        <v>135</v>
      </c>
      <c r="H83" s="8">
        <v>1</v>
      </c>
      <c r="I83" s="8">
        <f>TabelaVendas[[#This Row],[ValorUni]]*TabelaVendas[[#This Row],[Quantidade]]</f>
        <v>135</v>
      </c>
    </row>
    <row r="84" spans="2:9">
      <c r="B84" s="8">
        <v>82</v>
      </c>
      <c r="C84" s="8" t="s">
        <v>116</v>
      </c>
      <c r="D84" s="8" t="s">
        <v>88</v>
      </c>
      <c r="E84" s="12">
        <v>43167</v>
      </c>
      <c r="F84" s="8" t="s">
        <v>131</v>
      </c>
      <c r="G84" s="8">
        <v>135</v>
      </c>
      <c r="H84" s="8">
        <v>1</v>
      </c>
      <c r="I84" s="8">
        <f>TabelaVendas[[#This Row],[ValorUni]]*TabelaVendas[[#This Row],[Quantidade]]</f>
        <v>135</v>
      </c>
    </row>
    <row r="85" spans="2:9">
      <c r="B85" s="8">
        <v>83</v>
      </c>
      <c r="C85" s="8" t="s">
        <v>123</v>
      </c>
      <c r="D85" s="8" t="s">
        <v>30</v>
      </c>
      <c r="E85" s="12">
        <v>43533</v>
      </c>
      <c r="F85" s="8" t="s">
        <v>135</v>
      </c>
      <c r="G85" s="8">
        <v>7658</v>
      </c>
      <c r="H85" s="8">
        <v>1</v>
      </c>
      <c r="I85" s="8">
        <f>TabelaVendas[[#This Row],[ValorUni]]*TabelaVendas[[#This Row],[Quantidade]]</f>
        <v>7658</v>
      </c>
    </row>
    <row r="86" spans="2:9">
      <c r="B86" s="8">
        <v>84</v>
      </c>
      <c r="C86" s="8" t="s">
        <v>124</v>
      </c>
      <c r="D86" s="8" t="s">
        <v>92</v>
      </c>
      <c r="E86" s="12">
        <v>43169</v>
      </c>
      <c r="F86" s="8" t="s">
        <v>134</v>
      </c>
      <c r="G86" s="8">
        <v>4255</v>
      </c>
      <c r="H86" s="8">
        <v>3</v>
      </c>
      <c r="I86" s="8">
        <f>TabelaVendas[[#This Row],[ValorUni]]*TabelaVendas[[#This Row],[Quantidade]]</f>
        <v>12765</v>
      </c>
    </row>
    <row r="87" spans="2:9">
      <c r="B87" s="8">
        <v>85</v>
      </c>
      <c r="C87" s="8" t="s">
        <v>121</v>
      </c>
      <c r="D87" s="8" t="s">
        <v>106</v>
      </c>
      <c r="E87" s="12">
        <v>43901</v>
      </c>
      <c r="F87" s="8" t="s">
        <v>135</v>
      </c>
      <c r="G87" s="8">
        <v>7658</v>
      </c>
      <c r="H87" s="8">
        <v>1</v>
      </c>
      <c r="I87" s="8">
        <f>TabelaVendas[[#This Row],[ValorUni]]*TabelaVendas[[#This Row],[Quantidade]]</f>
        <v>7658</v>
      </c>
    </row>
    <row r="88" spans="2:9">
      <c r="B88" s="8">
        <v>86</v>
      </c>
      <c r="C88" s="8" t="s">
        <v>121</v>
      </c>
      <c r="D88" s="8" t="s">
        <v>88</v>
      </c>
      <c r="E88" s="12">
        <v>43536</v>
      </c>
      <c r="F88" s="8" t="s">
        <v>129</v>
      </c>
      <c r="G88" s="8">
        <v>188</v>
      </c>
      <c r="H88" s="8">
        <v>3</v>
      </c>
      <c r="I88" s="8">
        <f>TabelaVendas[[#This Row],[ValorUni]]*TabelaVendas[[#This Row],[Quantidade]]</f>
        <v>564</v>
      </c>
    </row>
    <row r="89" spans="2:9">
      <c r="B89" s="8">
        <v>87</v>
      </c>
      <c r="C89" s="8" t="s">
        <v>121</v>
      </c>
      <c r="D89" s="8" t="s">
        <v>47</v>
      </c>
      <c r="E89" s="12">
        <v>43537</v>
      </c>
      <c r="F89" s="8" t="s">
        <v>134</v>
      </c>
      <c r="G89" s="8">
        <v>4255</v>
      </c>
      <c r="H89" s="8">
        <v>3</v>
      </c>
      <c r="I89" s="8">
        <f>TabelaVendas[[#This Row],[ValorUni]]*TabelaVendas[[#This Row],[Quantidade]]</f>
        <v>12765</v>
      </c>
    </row>
    <row r="90" spans="2:9">
      <c r="B90" s="8">
        <v>88</v>
      </c>
      <c r="C90" s="8" t="s">
        <v>117</v>
      </c>
      <c r="D90" s="8" t="s">
        <v>47</v>
      </c>
      <c r="E90" s="12">
        <v>43173</v>
      </c>
      <c r="F90" s="8" t="s">
        <v>128</v>
      </c>
      <c r="G90" s="8">
        <v>155</v>
      </c>
      <c r="H90" s="8">
        <v>1</v>
      </c>
      <c r="I90" s="8">
        <f>TabelaVendas[[#This Row],[ValorUni]]*TabelaVendas[[#This Row],[Quantidade]]</f>
        <v>155</v>
      </c>
    </row>
    <row r="91" spans="2:9">
      <c r="B91" s="8">
        <v>89</v>
      </c>
      <c r="C91" s="8" t="s">
        <v>122</v>
      </c>
      <c r="D91" s="8" t="s">
        <v>47</v>
      </c>
      <c r="E91" s="12">
        <v>43173</v>
      </c>
      <c r="F91" s="8" t="s">
        <v>137</v>
      </c>
      <c r="G91" s="8">
        <v>2955</v>
      </c>
      <c r="H91" s="8">
        <v>1</v>
      </c>
      <c r="I91" s="8">
        <f>TabelaVendas[[#This Row],[ValorUni]]*TabelaVendas[[#This Row],[Quantidade]]</f>
        <v>2955</v>
      </c>
    </row>
    <row r="92" spans="2:9">
      <c r="B92" s="8">
        <v>90</v>
      </c>
      <c r="C92" s="8" t="s">
        <v>119</v>
      </c>
      <c r="D92" s="8" t="s">
        <v>47</v>
      </c>
      <c r="E92" s="12">
        <v>43905</v>
      </c>
      <c r="F92" s="8" t="s">
        <v>132</v>
      </c>
      <c r="G92" s="8">
        <v>8852</v>
      </c>
      <c r="H92" s="8">
        <v>2</v>
      </c>
      <c r="I92" s="8">
        <f>TabelaVendas[[#This Row],[ValorUni]]*TabelaVendas[[#This Row],[Quantidade]]</f>
        <v>17704</v>
      </c>
    </row>
    <row r="93" spans="2:9">
      <c r="B93" s="8">
        <v>91</v>
      </c>
      <c r="C93" s="8" t="s">
        <v>119</v>
      </c>
      <c r="D93" s="8" t="s">
        <v>47</v>
      </c>
      <c r="E93" s="12">
        <v>43539</v>
      </c>
      <c r="F93" s="8" t="s">
        <v>130</v>
      </c>
      <c r="G93" s="8">
        <v>115</v>
      </c>
      <c r="H93" s="8">
        <v>3</v>
      </c>
      <c r="I93" s="8">
        <f>TabelaVendas[[#This Row],[ValorUni]]*TabelaVendas[[#This Row],[Quantidade]]</f>
        <v>345</v>
      </c>
    </row>
    <row r="94" spans="2:9">
      <c r="B94" s="8">
        <v>92</v>
      </c>
      <c r="C94" s="8" t="s">
        <v>125</v>
      </c>
      <c r="D94" s="8" t="s">
        <v>43</v>
      </c>
      <c r="E94" s="12">
        <v>43907</v>
      </c>
      <c r="F94" s="8" t="s">
        <v>129</v>
      </c>
      <c r="G94" s="8">
        <v>188</v>
      </c>
      <c r="H94" s="8">
        <v>1</v>
      </c>
      <c r="I94" s="8">
        <f>TabelaVendas[[#This Row],[ValorUni]]*TabelaVendas[[#This Row],[Quantidade]]</f>
        <v>188</v>
      </c>
    </row>
    <row r="95" spans="2:9">
      <c r="B95" s="8">
        <v>93</v>
      </c>
      <c r="C95" s="8" t="s">
        <v>124</v>
      </c>
      <c r="D95" s="8" t="s">
        <v>89</v>
      </c>
      <c r="E95" s="12">
        <v>43176</v>
      </c>
      <c r="F95" s="8" t="s">
        <v>131</v>
      </c>
      <c r="G95" s="8">
        <v>135</v>
      </c>
      <c r="H95" s="8">
        <v>3</v>
      </c>
      <c r="I95" s="8">
        <f>TabelaVendas[[#This Row],[ValorUni]]*TabelaVendas[[#This Row],[Quantidade]]</f>
        <v>405</v>
      </c>
    </row>
    <row r="96" spans="2:9">
      <c r="B96" s="8">
        <v>94</v>
      </c>
      <c r="C96" s="8" t="s">
        <v>123</v>
      </c>
      <c r="D96" s="8" t="s">
        <v>17</v>
      </c>
      <c r="E96" s="12">
        <v>43542</v>
      </c>
      <c r="F96" s="8" t="s">
        <v>134</v>
      </c>
      <c r="G96" s="8">
        <v>4255</v>
      </c>
      <c r="H96" s="8">
        <v>2</v>
      </c>
      <c r="I96" s="8">
        <f>TabelaVendas[[#This Row],[ValorUni]]*TabelaVendas[[#This Row],[Quantidade]]</f>
        <v>8510</v>
      </c>
    </row>
    <row r="97" spans="2:9">
      <c r="B97" s="8">
        <v>95</v>
      </c>
      <c r="C97" s="8" t="s">
        <v>121</v>
      </c>
      <c r="D97" s="8" t="s">
        <v>52</v>
      </c>
      <c r="E97" s="12">
        <v>43177</v>
      </c>
      <c r="F97" s="8" t="s">
        <v>137</v>
      </c>
      <c r="G97" s="8">
        <v>2955</v>
      </c>
      <c r="H97" s="8">
        <v>2</v>
      </c>
      <c r="I97" s="8">
        <f>TabelaVendas[[#This Row],[ValorUni]]*TabelaVendas[[#This Row],[Quantidade]]</f>
        <v>5910</v>
      </c>
    </row>
    <row r="98" spans="2:9">
      <c r="B98" s="8">
        <v>96</v>
      </c>
      <c r="C98" s="8" t="s">
        <v>125</v>
      </c>
      <c r="D98" s="8" t="s">
        <v>15</v>
      </c>
      <c r="E98" s="12">
        <v>43543</v>
      </c>
      <c r="F98" s="8" t="s">
        <v>137</v>
      </c>
      <c r="G98" s="8">
        <v>188</v>
      </c>
      <c r="H98" s="8">
        <v>2</v>
      </c>
      <c r="I98" s="8">
        <f>TabelaVendas[[#This Row],[ValorUni]]*TabelaVendas[[#This Row],[Quantidade]]</f>
        <v>376</v>
      </c>
    </row>
    <row r="99" spans="2:9">
      <c r="B99" s="8">
        <v>97</v>
      </c>
      <c r="C99" s="8" t="s">
        <v>121</v>
      </c>
      <c r="D99" s="8" t="s">
        <v>95</v>
      </c>
      <c r="E99" s="12">
        <v>43547</v>
      </c>
      <c r="F99" s="8" t="s">
        <v>137</v>
      </c>
      <c r="G99" s="8">
        <v>2955</v>
      </c>
      <c r="H99" s="8">
        <v>2</v>
      </c>
      <c r="I99" s="8">
        <f>TabelaVendas[[#This Row],[ValorUni]]*TabelaVendas[[#This Row],[Quantidade]]</f>
        <v>5910</v>
      </c>
    </row>
    <row r="100" spans="2:9">
      <c r="B100" s="8">
        <v>98</v>
      </c>
      <c r="C100" s="8" t="s">
        <v>116</v>
      </c>
      <c r="D100" s="8" t="s">
        <v>95</v>
      </c>
      <c r="E100" s="12">
        <v>43913</v>
      </c>
      <c r="F100" s="8" t="s">
        <v>137</v>
      </c>
      <c r="G100" s="8">
        <v>8852</v>
      </c>
      <c r="H100" s="8">
        <v>2</v>
      </c>
      <c r="I100" s="8">
        <f>TabelaVendas[[#This Row],[ValorUni]]*TabelaVendas[[#This Row],[Quantidade]]</f>
        <v>17704</v>
      </c>
    </row>
    <row r="101" spans="2:9">
      <c r="B101" s="8">
        <v>99</v>
      </c>
      <c r="C101" s="8" t="s">
        <v>122</v>
      </c>
      <c r="D101" s="8" t="s">
        <v>95</v>
      </c>
      <c r="E101" s="12">
        <v>43182</v>
      </c>
      <c r="F101" s="8" t="s">
        <v>134</v>
      </c>
      <c r="G101" s="8">
        <v>4255</v>
      </c>
      <c r="H101" s="8">
        <v>1</v>
      </c>
      <c r="I101" s="8">
        <f>TabelaVendas[[#This Row],[ValorUni]]*TabelaVendas[[#This Row],[Quantidade]]</f>
        <v>4255</v>
      </c>
    </row>
    <row r="102" spans="2:9">
      <c r="B102" s="8">
        <v>100</v>
      </c>
      <c r="C102" s="8" t="s">
        <v>117</v>
      </c>
      <c r="D102" s="8" t="s">
        <v>115</v>
      </c>
      <c r="E102" s="12">
        <v>43547</v>
      </c>
      <c r="F102" s="8" t="s">
        <v>137</v>
      </c>
      <c r="G102" s="8">
        <v>2955</v>
      </c>
      <c r="H102" s="8">
        <v>1</v>
      </c>
      <c r="I102" s="8">
        <f>TabelaVendas[[#This Row],[ValorUni]]*TabelaVendas[[#This Row],[Quantidade]]</f>
        <v>2955</v>
      </c>
    </row>
    <row r="103" spans="2:9">
      <c r="B103" s="8">
        <v>101</v>
      </c>
      <c r="C103" s="8" t="s">
        <v>121</v>
      </c>
      <c r="D103" s="8" t="s">
        <v>61</v>
      </c>
      <c r="E103" s="12">
        <v>43918</v>
      </c>
      <c r="F103" s="8" t="s">
        <v>132</v>
      </c>
      <c r="G103" s="8">
        <v>8852</v>
      </c>
      <c r="H103" s="8">
        <v>1</v>
      </c>
      <c r="I103" s="8">
        <f>TabelaVendas[[#This Row],[ValorUni]]*TabelaVendas[[#This Row],[Quantidade]]</f>
        <v>8852</v>
      </c>
    </row>
    <row r="104" spans="2:9">
      <c r="B104" s="8">
        <v>102</v>
      </c>
      <c r="C104" s="8" t="s">
        <v>121</v>
      </c>
      <c r="D104" s="8" t="s">
        <v>26</v>
      </c>
      <c r="E104" s="12">
        <v>43188</v>
      </c>
      <c r="F104" s="8" t="s">
        <v>132</v>
      </c>
      <c r="G104" s="8">
        <v>8852</v>
      </c>
      <c r="H104" s="8">
        <v>2</v>
      </c>
      <c r="I104" s="8">
        <f>TabelaVendas[[#This Row],[ValorUni]]*TabelaVendas[[#This Row],[Quantidade]]</f>
        <v>17704</v>
      </c>
    </row>
    <row r="105" spans="2:9">
      <c r="B105" s="8">
        <v>103</v>
      </c>
      <c r="C105" s="8" t="s">
        <v>121</v>
      </c>
      <c r="D105" s="8" t="s">
        <v>46</v>
      </c>
      <c r="E105" s="12">
        <v>43554</v>
      </c>
      <c r="F105" s="8" t="s">
        <v>128</v>
      </c>
      <c r="G105" s="8">
        <v>155</v>
      </c>
      <c r="H105" s="8">
        <v>3</v>
      </c>
      <c r="I105" s="8">
        <f>TabelaVendas[[#This Row],[ValorUni]]*TabelaVendas[[#This Row],[Quantidade]]</f>
        <v>465</v>
      </c>
    </row>
    <row r="106" spans="2:9">
      <c r="B106" s="8">
        <v>104</v>
      </c>
      <c r="C106" s="8" t="s">
        <v>120</v>
      </c>
      <c r="D106" s="8" t="s">
        <v>106</v>
      </c>
      <c r="E106" s="12">
        <v>43189</v>
      </c>
      <c r="F106" s="8" t="s">
        <v>133</v>
      </c>
      <c r="G106" s="8">
        <v>9201</v>
      </c>
      <c r="H106" s="8">
        <v>1</v>
      </c>
      <c r="I106" s="8">
        <f>TabelaVendas[[#This Row],[ValorUni]]*TabelaVendas[[#This Row],[Quantidade]]</f>
        <v>9201</v>
      </c>
    </row>
    <row r="107" spans="2:9">
      <c r="B107" s="8">
        <v>105</v>
      </c>
      <c r="C107" s="8" t="s">
        <v>119</v>
      </c>
      <c r="D107" s="8" t="s">
        <v>47</v>
      </c>
      <c r="E107" s="12">
        <v>43191</v>
      </c>
      <c r="F107" s="8" t="s">
        <v>133</v>
      </c>
      <c r="G107" s="8">
        <v>9201</v>
      </c>
      <c r="H107" s="8">
        <v>1</v>
      </c>
      <c r="I107" s="8">
        <f>TabelaVendas[[#This Row],[ValorUni]]*TabelaVendas[[#This Row],[Quantidade]]</f>
        <v>9201</v>
      </c>
    </row>
    <row r="108" spans="2:9">
      <c r="B108" s="8">
        <v>106</v>
      </c>
      <c r="C108" s="8" t="s">
        <v>119</v>
      </c>
      <c r="D108" s="8" t="s">
        <v>9</v>
      </c>
      <c r="E108" s="12">
        <v>43556</v>
      </c>
      <c r="F108" s="8" t="s">
        <v>129</v>
      </c>
      <c r="G108" s="8">
        <v>188</v>
      </c>
      <c r="H108" s="8">
        <v>3</v>
      </c>
      <c r="I108" s="8">
        <f>TabelaVendas[[#This Row],[ValorUni]]*TabelaVendas[[#This Row],[Quantidade]]</f>
        <v>564</v>
      </c>
    </row>
    <row r="109" spans="2:9">
      <c r="B109" s="8">
        <v>107</v>
      </c>
      <c r="C109" s="8" t="s">
        <v>122</v>
      </c>
      <c r="D109" s="8" t="s">
        <v>58</v>
      </c>
      <c r="E109" s="12">
        <v>43923</v>
      </c>
      <c r="F109" s="8" t="s">
        <v>136</v>
      </c>
      <c r="G109" s="8">
        <v>2966</v>
      </c>
      <c r="H109" s="8">
        <v>2</v>
      </c>
      <c r="I109" s="8">
        <f>TabelaVendas[[#This Row],[ValorUni]]*TabelaVendas[[#This Row],[Quantidade]]</f>
        <v>5932</v>
      </c>
    </row>
    <row r="110" spans="2:9">
      <c r="B110" s="8">
        <v>108</v>
      </c>
      <c r="C110" s="8" t="s">
        <v>124</v>
      </c>
      <c r="D110" s="8" t="s">
        <v>15</v>
      </c>
      <c r="E110" s="12">
        <v>43925</v>
      </c>
      <c r="F110" s="8" t="s">
        <v>136</v>
      </c>
      <c r="G110" s="8">
        <v>2966</v>
      </c>
      <c r="H110" s="8">
        <v>3</v>
      </c>
      <c r="I110" s="8">
        <f>TabelaVendas[[#This Row],[ValorUni]]*TabelaVendas[[#This Row],[Quantidade]]</f>
        <v>8898</v>
      </c>
    </row>
    <row r="111" spans="2:9">
      <c r="B111" s="8">
        <v>109</v>
      </c>
      <c r="C111" s="8" t="s">
        <v>125</v>
      </c>
      <c r="D111" s="8" t="s">
        <v>46</v>
      </c>
      <c r="E111" s="12">
        <v>43926</v>
      </c>
      <c r="F111" s="8" t="s">
        <v>136</v>
      </c>
      <c r="G111" s="8">
        <v>2966</v>
      </c>
      <c r="H111" s="8">
        <v>2</v>
      </c>
      <c r="I111" s="8">
        <f>TabelaVendas[[#This Row],[ValorUni]]*TabelaVendas[[#This Row],[Quantidade]]</f>
        <v>5932</v>
      </c>
    </row>
    <row r="112" spans="2:9">
      <c r="B112" s="8">
        <v>110</v>
      </c>
      <c r="C112" s="8" t="s">
        <v>116</v>
      </c>
      <c r="D112" s="8" t="s">
        <v>17</v>
      </c>
      <c r="E112" s="12">
        <v>43565</v>
      </c>
      <c r="F112" s="8" t="s">
        <v>136</v>
      </c>
      <c r="G112" s="8">
        <v>2966</v>
      </c>
      <c r="H112" s="8">
        <v>3</v>
      </c>
      <c r="I112" s="8">
        <f>TabelaVendas[[#This Row],[ValorUni]]*TabelaVendas[[#This Row],[Quantidade]]</f>
        <v>8898</v>
      </c>
    </row>
    <row r="113" spans="2:9">
      <c r="B113" s="8">
        <v>111</v>
      </c>
      <c r="C113" s="8" t="s">
        <v>116</v>
      </c>
      <c r="D113" s="8" t="s">
        <v>91</v>
      </c>
      <c r="E113" s="12">
        <v>43932</v>
      </c>
      <c r="F113" s="8" t="s">
        <v>136</v>
      </c>
      <c r="G113" s="8">
        <v>2966</v>
      </c>
      <c r="H113" s="8">
        <v>1</v>
      </c>
      <c r="I113" s="8">
        <f>TabelaVendas[[#This Row],[ValorUni]]*TabelaVendas[[#This Row],[Quantidade]]</f>
        <v>2966</v>
      </c>
    </row>
    <row r="114" spans="2:9">
      <c r="B114" s="8">
        <v>112</v>
      </c>
      <c r="C114" s="8" t="s">
        <v>116</v>
      </c>
      <c r="D114" s="8" t="s">
        <v>100</v>
      </c>
      <c r="E114" s="12">
        <v>43202</v>
      </c>
      <c r="F114" s="8" t="s">
        <v>136</v>
      </c>
      <c r="G114" s="8">
        <v>2966</v>
      </c>
      <c r="H114" s="8">
        <v>3</v>
      </c>
      <c r="I114" s="8">
        <f>TabelaVendas[[#This Row],[ValorUni]]*TabelaVendas[[#This Row],[Quantidade]]</f>
        <v>8898</v>
      </c>
    </row>
    <row r="115" spans="2:9">
      <c r="B115" s="8">
        <v>113</v>
      </c>
      <c r="C115" s="8" t="s">
        <v>116</v>
      </c>
      <c r="D115" s="8" t="s">
        <v>100</v>
      </c>
      <c r="E115" s="12">
        <v>43934</v>
      </c>
      <c r="F115" s="8" t="s">
        <v>136</v>
      </c>
      <c r="G115" s="8">
        <v>2966</v>
      </c>
      <c r="H115" s="8">
        <v>1</v>
      </c>
      <c r="I115" s="8">
        <f>TabelaVendas[[#This Row],[ValorUni]]*TabelaVendas[[#This Row],[Quantidade]]</f>
        <v>2966</v>
      </c>
    </row>
    <row r="116" spans="2:9">
      <c r="B116" s="8">
        <v>114</v>
      </c>
      <c r="C116" s="8" t="s">
        <v>120</v>
      </c>
      <c r="D116" s="8" t="s">
        <v>91</v>
      </c>
      <c r="E116" s="12">
        <v>43568</v>
      </c>
      <c r="F116" s="8" t="s">
        <v>136</v>
      </c>
      <c r="G116" s="8">
        <v>2966</v>
      </c>
      <c r="H116" s="8">
        <v>3</v>
      </c>
      <c r="I116" s="8">
        <f>TabelaVendas[[#This Row],[ValorUni]]*TabelaVendas[[#This Row],[Quantidade]]</f>
        <v>8898</v>
      </c>
    </row>
    <row r="117" spans="2:9">
      <c r="B117" s="8">
        <v>115</v>
      </c>
      <c r="C117" s="8" t="s">
        <v>125</v>
      </c>
      <c r="D117" s="8" t="s">
        <v>95</v>
      </c>
      <c r="E117" s="12">
        <v>43934</v>
      </c>
      <c r="F117" s="8" t="s">
        <v>136</v>
      </c>
      <c r="G117" s="8">
        <v>2966</v>
      </c>
      <c r="H117" s="8">
        <v>3</v>
      </c>
      <c r="I117" s="8">
        <f>TabelaVendas[[#This Row],[ValorUni]]*TabelaVendas[[#This Row],[Quantidade]]</f>
        <v>8898</v>
      </c>
    </row>
    <row r="118" spans="2:9">
      <c r="B118" s="8">
        <v>116</v>
      </c>
      <c r="C118" s="8" t="s">
        <v>124</v>
      </c>
      <c r="D118" s="8" t="s">
        <v>50</v>
      </c>
      <c r="E118" s="12">
        <v>43569</v>
      </c>
      <c r="F118" s="8" t="s">
        <v>128</v>
      </c>
      <c r="G118" s="8">
        <v>155</v>
      </c>
      <c r="H118" s="8">
        <v>1</v>
      </c>
      <c r="I118" s="8">
        <f>TabelaVendas[[#This Row],[ValorUni]]*TabelaVendas[[#This Row],[Quantidade]]</f>
        <v>155</v>
      </c>
    </row>
    <row r="119" spans="2:9">
      <c r="B119" s="8">
        <v>117</v>
      </c>
      <c r="C119" s="8" t="s">
        <v>120</v>
      </c>
      <c r="D119" s="8" t="s">
        <v>32</v>
      </c>
      <c r="E119" s="12">
        <v>43204</v>
      </c>
      <c r="F119" s="8" t="s">
        <v>137</v>
      </c>
      <c r="G119" s="8">
        <v>2955</v>
      </c>
      <c r="H119" s="8">
        <v>1</v>
      </c>
      <c r="I119" s="8">
        <f>TabelaVendas[[#This Row],[ValorUni]]*TabelaVendas[[#This Row],[Quantidade]]</f>
        <v>2955</v>
      </c>
    </row>
    <row r="120" spans="2:9">
      <c r="B120" s="8">
        <v>118</v>
      </c>
      <c r="C120" s="8" t="s">
        <v>121</v>
      </c>
      <c r="D120" s="8" t="s">
        <v>95</v>
      </c>
      <c r="E120" s="12">
        <v>43571</v>
      </c>
      <c r="F120" s="8" t="s">
        <v>130</v>
      </c>
      <c r="G120" s="8">
        <v>115</v>
      </c>
      <c r="H120" s="8">
        <v>2</v>
      </c>
      <c r="I120" s="8">
        <f>TabelaVendas[[#This Row],[ValorUni]]*TabelaVendas[[#This Row],[Quantidade]]</f>
        <v>230</v>
      </c>
    </row>
    <row r="121" spans="2:9">
      <c r="B121" s="8">
        <v>119</v>
      </c>
      <c r="C121" s="8" t="s">
        <v>121</v>
      </c>
      <c r="D121" s="8" t="s">
        <v>52</v>
      </c>
      <c r="E121" s="12">
        <v>43938</v>
      </c>
      <c r="F121" s="8" t="s">
        <v>131</v>
      </c>
      <c r="G121" s="8">
        <v>135</v>
      </c>
      <c r="H121" s="8">
        <v>1</v>
      </c>
      <c r="I121" s="8">
        <f>TabelaVendas[[#This Row],[ValorUni]]*TabelaVendas[[#This Row],[Quantidade]]</f>
        <v>135</v>
      </c>
    </row>
    <row r="122" spans="2:9">
      <c r="B122" s="8">
        <v>120</v>
      </c>
      <c r="C122" s="8" t="s">
        <v>122</v>
      </c>
      <c r="D122" s="8" t="s">
        <v>26</v>
      </c>
      <c r="E122" s="12">
        <v>43572</v>
      </c>
      <c r="F122" s="8" t="s">
        <v>132</v>
      </c>
      <c r="G122" s="8">
        <v>8852</v>
      </c>
      <c r="H122" s="8">
        <v>3</v>
      </c>
      <c r="I122" s="8">
        <f>TabelaVendas[[#This Row],[ValorUni]]*TabelaVendas[[#This Row],[Quantidade]]</f>
        <v>26556</v>
      </c>
    </row>
    <row r="123" spans="2:9">
      <c r="B123" s="8">
        <v>121</v>
      </c>
      <c r="C123" s="8" t="s">
        <v>121</v>
      </c>
      <c r="D123" s="8" t="s">
        <v>47</v>
      </c>
      <c r="E123" s="12">
        <v>43572</v>
      </c>
      <c r="F123" s="8" t="s">
        <v>129</v>
      </c>
      <c r="G123" s="8">
        <v>188</v>
      </c>
      <c r="H123" s="8">
        <v>1</v>
      </c>
      <c r="I123" s="8">
        <f>TabelaVendas[[#This Row],[ValorUni]]*TabelaVendas[[#This Row],[Quantidade]]</f>
        <v>188</v>
      </c>
    </row>
    <row r="124" spans="2:9">
      <c r="B124" s="8">
        <v>122</v>
      </c>
      <c r="C124" s="8" t="s">
        <v>118</v>
      </c>
      <c r="D124" s="8" t="s">
        <v>26</v>
      </c>
      <c r="E124" s="12">
        <v>43208</v>
      </c>
      <c r="F124" s="8" t="s">
        <v>129</v>
      </c>
      <c r="G124" s="8">
        <v>188</v>
      </c>
      <c r="H124" s="8">
        <v>3</v>
      </c>
      <c r="I124" s="8">
        <f>TabelaVendas[[#This Row],[ValorUni]]*TabelaVendas[[#This Row],[Quantidade]]</f>
        <v>564</v>
      </c>
    </row>
    <row r="125" spans="2:9">
      <c r="B125" s="8">
        <v>123</v>
      </c>
      <c r="C125" s="8" t="s">
        <v>124</v>
      </c>
      <c r="D125" s="8" t="s">
        <v>32</v>
      </c>
      <c r="E125" s="12">
        <v>43573</v>
      </c>
      <c r="F125" s="8" t="s">
        <v>133</v>
      </c>
      <c r="G125" s="8">
        <v>9201</v>
      </c>
      <c r="H125" s="8">
        <v>3</v>
      </c>
      <c r="I125" s="8">
        <f>TabelaVendas[[#This Row],[ValorUni]]*TabelaVendas[[#This Row],[Quantidade]]</f>
        <v>27603</v>
      </c>
    </row>
    <row r="126" spans="2:9">
      <c r="B126" s="8">
        <v>124</v>
      </c>
      <c r="C126" s="8" t="s">
        <v>120</v>
      </c>
      <c r="D126" s="8" t="s">
        <v>95</v>
      </c>
      <c r="E126" s="12">
        <v>43574</v>
      </c>
      <c r="F126" s="8" t="s">
        <v>137</v>
      </c>
      <c r="G126" s="8">
        <v>2955</v>
      </c>
      <c r="H126" s="8">
        <v>2</v>
      </c>
      <c r="I126" s="8">
        <f>TabelaVendas[[#This Row],[ValorUni]]*TabelaVendas[[#This Row],[Quantidade]]</f>
        <v>5910</v>
      </c>
    </row>
    <row r="127" spans="2:9">
      <c r="B127" s="8">
        <v>125</v>
      </c>
      <c r="C127" s="8" t="s">
        <v>119</v>
      </c>
      <c r="D127" s="8" t="s">
        <v>39</v>
      </c>
      <c r="E127" s="12">
        <v>43575</v>
      </c>
      <c r="F127" s="8" t="s">
        <v>128</v>
      </c>
      <c r="G127" s="8">
        <v>155</v>
      </c>
      <c r="H127" s="8">
        <v>3</v>
      </c>
      <c r="I127" s="8">
        <f>TabelaVendas[[#This Row],[ValorUni]]*TabelaVendas[[#This Row],[Quantidade]]</f>
        <v>465</v>
      </c>
    </row>
    <row r="128" spans="2:9">
      <c r="B128" s="8">
        <v>126</v>
      </c>
      <c r="C128" s="8" t="s">
        <v>121</v>
      </c>
      <c r="D128" s="8" t="s">
        <v>52</v>
      </c>
      <c r="E128" s="12">
        <v>43211</v>
      </c>
      <c r="F128" s="8" t="s">
        <v>136</v>
      </c>
      <c r="G128" s="8">
        <v>2966</v>
      </c>
      <c r="H128" s="8">
        <v>1</v>
      </c>
      <c r="I128" s="8">
        <f>TabelaVendas[[#This Row],[ValorUni]]*TabelaVendas[[#This Row],[Quantidade]]</f>
        <v>2966</v>
      </c>
    </row>
    <row r="129" spans="2:9">
      <c r="B129" s="8">
        <v>127</v>
      </c>
      <c r="C129" s="8" t="s">
        <v>119</v>
      </c>
      <c r="D129" s="8" t="s">
        <v>95</v>
      </c>
      <c r="E129" s="12">
        <v>43942</v>
      </c>
      <c r="F129" s="8" t="s">
        <v>136</v>
      </c>
      <c r="G129" s="8">
        <v>2966</v>
      </c>
      <c r="H129" s="8">
        <v>1</v>
      </c>
      <c r="I129" s="8">
        <f>TabelaVendas[[#This Row],[ValorUni]]*TabelaVendas[[#This Row],[Quantidade]]</f>
        <v>2966</v>
      </c>
    </row>
    <row r="130" spans="2:9">
      <c r="B130" s="8">
        <v>128</v>
      </c>
      <c r="C130" s="8" t="s">
        <v>123</v>
      </c>
      <c r="D130" s="8" t="s">
        <v>46</v>
      </c>
      <c r="E130" s="12">
        <v>43943</v>
      </c>
      <c r="F130" s="8" t="s">
        <v>134</v>
      </c>
      <c r="G130" s="8">
        <v>4255</v>
      </c>
      <c r="H130" s="8">
        <v>1</v>
      </c>
      <c r="I130" s="8">
        <f>TabelaVendas[[#This Row],[ValorUni]]*TabelaVendas[[#This Row],[Quantidade]]</f>
        <v>4255</v>
      </c>
    </row>
    <row r="131" spans="2:9">
      <c r="B131" s="8">
        <v>129</v>
      </c>
      <c r="C131" s="8" t="s">
        <v>116</v>
      </c>
      <c r="D131" s="8" t="s">
        <v>82</v>
      </c>
      <c r="E131" s="12">
        <v>43213</v>
      </c>
      <c r="F131" s="8" t="s">
        <v>132</v>
      </c>
      <c r="G131" s="8">
        <v>8852</v>
      </c>
      <c r="H131" s="8">
        <v>1</v>
      </c>
      <c r="I131" s="8">
        <f>TabelaVendas[[#This Row],[ValorUni]]*TabelaVendas[[#This Row],[Quantidade]]</f>
        <v>8852</v>
      </c>
    </row>
    <row r="132" spans="2:9">
      <c r="B132" s="8">
        <v>130</v>
      </c>
      <c r="C132" s="8" t="s">
        <v>116</v>
      </c>
      <c r="D132" s="8" t="s">
        <v>100</v>
      </c>
      <c r="E132" s="12">
        <v>43213</v>
      </c>
      <c r="F132" s="8" t="s">
        <v>128</v>
      </c>
      <c r="G132" s="8">
        <v>155</v>
      </c>
      <c r="H132" s="8">
        <v>3</v>
      </c>
      <c r="I132" s="8">
        <f>TabelaVendas[[#This Row],[ValorUni]]*TabelaVendas[[#This Row],[Quantidade]]</f>
        <v>465</v>
      </c>
    </row>
    <row r="133" spans="2:9">
      <c r="B133" s="8">
        <v>131</v>
      </c>
      <c r="C133" s="8" t="s">
        <v>116</v>
      </c>
      <c r="D133" s="8" t="s">
        <v>100</v>
      </c>
      <c r="E133" s="12">
        <v>43580</v>
      </c>
      <c r="F133" s="8" t="s">
        <v>131</v>
      </c>
      <c r="G133" s="8">
        <v>135</v>
      </c>
      <c r="H133" s="8">
        <v>2</v>
      </c>
      <c r="I133" s="8">
        <f>TabelaVendas[[#This Row],[ValorUni]]*TabelaVendas[[#This Row],[Quantidade]]</f>
        <v>270</v>
      </c>
    </row>
    <row r="134" spans="2:9">
      <c r="B134" s="8">
        <v>132</v>
      </c>
      <c r="C134" s="8" t="s">
        <v>116</v>
      </c>
      <c r="D134" s="8" t="s">
        <v>100</v>
      </c>
      <c r="E134" s="12">
        <v>43947</v>
      </c>
      <c r="F134" s="8" t="s">
        <v>133</v>
      </c>
      <c r="G134" s="8">
        <v>9201</v>
      </c>
      <c r="H134" s="8">
        <v>1</v>
      </c>
      <c r="I134" s="8">
        <f>TabelaVendas[[#This Row],[ValorUni]]*TabelaVendas[[#This Row],[Quantidade]]</f>
        <v>9201</v>
      </c>
    </row>
    <row r="135" spans="2:9">
      <c r="B135" s="8">
        <v>133</v>
      </c>
      <c r="C135" s="8" t="s">
        <v>118</v>
      </c>
      <c r="D135" s="8" t="s">
        <v>100</v>
      </c>
      <c r="E135" s="12">
        <v>43581</v>
      </c>
      <c r="F135" s="8" t="s">
        <v>137</v>
      </c>
      <c r="G135" s="8">
        <v>155</v>
      </c>
      <c r="H135" s="8">
        <v>1</v>
      </c>
      <c r="I135" s="8">
        <f>TabelaVendas[[#This Row],[ValorUni]]*TabelaVendas[[#This Row],[Quantidade]]</f>
        <v>155</v>
      </c>
    </row>
    <row r="136" spans="2:9">
      <c r="B136" s="8">
        <v>134</v>
      </c>
      <c r="C136" s="8" t="s">
        <v>120</v>
      </c>
      <c r="D136" s="8" t="s">
        <v>100</v>
      </c>
      <c r="E136" s="12">
        <v>43584</v>
      </c>
      <c r="F136" s="8" t="s">
        <v>137</v>
      </c>
      <c r="G136" s="8">
        <v>2966</v>
      </c>
      <c r="H136" s="8">
        <v>3</v>
      </c>
      <c r="I136" s="8">
        <f>TabelaVendas[[#This Row],[ValorUni]]*TabelaVendas[[#This Row],[Quantidade]]</f>
        <v>8898</v>
      </c>
    </row>
    <row r="137" spans="2:9">
      <c r="B137" s="8">
        <v>135</v>
      </c>
      <c r="C137" s="8" t="s">
        <v>125</v>
      </c>
      <c r="D137" s="8" t="s">
        <v>50</v>
      </c>
      <c r="E137" s="12">
        <v>43584</v>
      </c>
      <c r="F137" s="8" t="s">
        <v>131</v>
      </c>
      <c r="G137" s="8">
        <v>135</v>
      </c>
      <c r="H137" s="8">
        <v>2</v>
      </c>
      <c r="I137" s="8">
        <f>TabelaVendas[[#This Row],[ValorUni]]*TabelaVendas[[#This Row],[Quantidade]]</f>
        <v>270</v>
      </c>
    </row>
    <row r="138" spans="2:9">
      <c r="B138" s="8">
        <v>136</v>
      </c>
      <c r="C138" s="8" t="s">
        <v>121</v>
      </c>
      <c r="D138" s="8" t="s">
        <v>8</v>
      </c>
      <c r="E138" s="12">
        <v>43950</v>
      </c>
      <c r="F138" s="8" t="s">
        <v>129</v>
      </c>
      <c r="G138" s="8">
        <v>188</v>
      </c>
      <c r="H138" s="8">
        <v>1</v>
      </c>
      <c r="I138" s="8">
        <f>TabelaVendas[[#This Row],[ValorUni]]*TabelaVendas[[#This Row],[Quantidade]]</f>
        <v>188</v>
      </c>
    </row>
    <row r="139" spans="2:9">
      <c r="B139" s="8">
        <v>137</v>
      </c>
      <c r="C139" s="8" t="s">
        <v>121</v>
      </c>
      <c r="D139" s="8" t="s">
        <v>115</v>
      </c>
      <c r="E139" s="12">
        <v>43586</v>
      </c>
      <c r="F139" s="8" t="s">
        <v>137</v>
      </c>
      <c r="G139" s="8">
        <v>2955</v>
      </c>
      <c r="H139" s="8">
        <v>2</v>
      </c>
      <c r="I139" s="8">
        <f>TabelaVendas[[#This Row],[ValorUni]]*TabelaVendas[[#This Row],[Quantidade]]</f>
        <v>5910</v>
      </c>
    </row>
    <row r="140" spans="2:9">
      <c r="B140" s="8">
        <v>138</v>
      </c>
      <c r="C140" s="8" t="s">
        <v>121</v>
      </c>
      <c r="D140" s="8" t="s">
        <v>39</v>
      </c>
      <c r="E140" s="12">
        <v>43952</v>
      </c>
      <c r="F140" s="8" t="s">
        <v>134</v>
      </c>
      <c r="G140" s="8">
        <v>4255</v>
      </c>
      <c r="H140" s="8">
        <v>2</v>
      </c>
      <c r="I140" s="8">
        <f>TabelaVendas[[#This Row],[ValorUni]]*TabelaVendas[[#This Row],[Quantidade]]</f>
        <v>8510</v>
      </c>
    </row>
    <row r="141" spans="2:9">
      <c r="B141" s="8">
        <v>139</v>
      </c>
      <c r="C141" s="8" t="s">
        <v>118</v>
      </c>
      <c r="D141" s="8" t="s">
        <v>88</v>
      </c>
      <c r="E141" s="12">
        <v>43954</v>
      </c>
      <c r="F141" s="8" t="s">
        <v>136</v>
      </c>
      <c r="G141" s="8">
        <v>2966</v>
      </c>
      <c r="H141" s="8">
        <v>2</v>
      </c>
      <c r="I141" s="8">
        <f>TabelaVendas[[#This Row],[ValorUni]]*TabelaVendas[[#This Row],[Quantidade]]</f>
        <v>5932</v>
      </c>
    </row>
    <row r="142" spans="2:9">
      <c r="B142" s="8">
        <v>140</v>
      </c>
      <c r="C142" s="8" t="s">
        <v>117</v>
      </c>
      <c r="D142" s="8" t="s">
        <v>52</v>
      </c>
      <c r="E142" s="12">
        <v>43955</v>
      </c>
      <c r="F142" s="8" t="s">
        <v>131</v>
      </c>
      <c r="G142" s="8">
        <v>135</v>
      </c>
      <c r="H142" s="8">
        <v>3</v>
      </c>
      <c r="I142" s="8">
        <f>TabelaVendas[[#This Row],[ValorUni]]*TabelaVendas[[#This Row],[Quantidade]]</f>
        <v>405</v>
      </c>
    </row>
    <row r="143" spans="2:9">
      <c r="B143" s="8">
        <v>141</v>
      </c>
      <c r="C143" s="8" t="s">
        <v>125</v>
      </c>
      <c r="D143" s="8" t="s">
        <v>91</v>
      </c>
      <c r="E143" s="12">
        <v>43225</v>
      </c>
      <c r="F143" s="8" t="s">
        <v>135</v>
      </c>
      <c r="G143" s="8">
        <v>7658</v>
      </c>
      <c r="H143" s="8">
        <v>2</v>
      </c>
      <c r="I143" s="8">
        <f>TabelaVendas[[#This Row],[ValorUni]]*TabelaVendas[[#This Row],[Quantidade]]</f>
        <v>15316</v>
      </c>
    </row>
    <row r="144" spans="2:9">
      <c r="B144" s="8">
        <v>142</v>
      </c>
      <c r="C144" s="8" t="s">
        <v>120</v>
      </c>
      <c r="D144" s="8" t="s">
        <v>91</v>
      </c>
      <c r="E144" s="12">
        <v>43956</v>
      </c>
      <c r="F144" s="8" t="s">
        <v>133</v>
      </c>
      <c r="G144" s="8">
        <v>9201</v>
      </c>
      <c r="H144" s="8">
        <v>1</v>
      </c>
      <c r="I144" s="8">
        <f>TabelaVendas[[#This Row],[ValorUni]]*TabelaVendas[[#This Row],[Quantidade]]</f>
        <v>9201</v>
      </c>
    </row>
    <row r="145" spans="2:9">
      <c r="B145" s="8">
        <v>143</v>
      </c>
      <c r="C145" s="8" t="s">
        <v>123</v>
      </c>
      <c r="D145" s="8" t="s">
        <v>52</v>
      </c>
      <c r="E145" s="12">
        <v>43225</v>
      </c>
      <c r="F145" s="8" t="s">
        <v>132</v>
      </c>
      <c r="G145" s="8">
        <v>8852</v>
      </c>
      <c r="H145" s="8">
        <v>3</v>
      </c>
      <c r="I145" s="8">
        <f>TabelaVendas[[#This Row],[ValorUni]]*TabelaVendas[[#This Row],[Quantidade]]</f>
        <v>26556</v>
      </c>
    </row>
    <row r="146" spans="2:9">
      <c r="B146" s="8">
        <v>144</v>
      </c>
      <c r="C146" s="8" t="s">
        <v>117</v>
      </c>
      <c r="D146" s="8" t="s">
        <v>95</v>
      </c>
      <c r="E146" s="12">
        <v>43226</v>
      </c>
      <c r="F146" s="8" t="s">
        <v>130</v>
      </c>
      <c r="G146" s="8">
        <v>115</v>
      </c>
      <c r="H146" s="8">
        <v>2</v>
      </c>
      <c r="I146" s="8">
        <f>TabelaVendas[[#This Row],[ValorUni]]*TabelaVendas[[#This Row],[Quantidade]]</f>
        <v>230</v>
      </c>
    </row>
    <row r="147" spans="2:9">
      <c r="B147" s="8">
        <v>145</v>
      </c>
      <c r="C147" s="8" t="s">
        <v>117</v>
      </c>
      <c r="D147" s="8" t="s">
        <v>95</v>
      </c>
      <c r="E147" s="12">
        <v>43591</v>
      </c>
      <c r="F147" s="8" t="s">
        <v>136</v>
      </c>
      <c r="G147" s="8">
        <v>2966</v>
      </c>
      <c r="H147" s="8">
        <v>1</v>
      </c>
      <c r="I147" s="8">
        <f>TabelaVendas[[#This Row],[ValorUni]]*TabelaVendas[[#This Row],[Quantidade]]</f>
        <v>2966</v>
      </c>
    </row>
    <row r="148" spans="2:9">
      <c r="B148" s="8">
        <v>146</v>
      </c>
      <c r="C148" s="8" t="s">
        <v>125</v>
      </c>
      <c r="D148" s="8" t="s">
        <v>95</v>
      </c>
      <c r="E148" s="12">
        <v>43226</v>
      </c>
      <c r="F148" s="8" t="s">
        <v>136</v>
      </c>
      <c r="G148" s="8">
        <v>2966</v>
      </c>
      <c r="H148" s="8">
        <v>3</v>
      </c>
      <c r="I148" s="8">
        <f>TabelaVendas[[#This Row],[ValorUni]]*TabelaVendas[[#This Row],[Quantidade]]</f>
        <v>8898</v>
      </c>
    </row>
    <row r="149" spans="2:9">
      <c r="B149" s="8">
        <v>147</v>
      </c>
      <c r="C149" s="8" t="s">
        <v>116</v>
      </c>
      <c r="D149" s="8" t="s">
        <v>8</v>
      </c>
      <c r="E149" s="12">
        <v>43228</v>
      </c>
      <c r="F149" s="8" t="s">
        <v>136</v>
      </c>
      <c r="G149" s="8">
        <v>2966</v>
      </c>
      <c r="H149" s="8">
        <v>2</v>
      </c>
      <c r="I149" s="8">
        <f>TabelaVendas[[#This Row],[ValorUni]]*TabelaVendas[[#This Row],[Quantidade]]</f>
        <v>5932</v>
      </c>
    </row>
    <row r="150" spans="2:9">
      <c r="B150" s="8">
        <v>148</v>
      </c>
      <c r="C150" s="8" t="s">
        <v>116</v>
      </c>
      <c r="D150" s="8" t="s">
        <v>58</v>
      </c>
      <c r="E150" s="12">
        <v>43229</v>
      </c>
      <c r="F150" s="8" t="s">
        <v>136</v>
      </c>
      <c r="G150" s="8">
        <v>2966</v>
      </c>
      <c r="H150" s="8">
        <v>2</v>
      </c>
      <c r="I150" s="8">
        <f>TabelaVendas[[#This Row],[ValorUni]]*TabelaVendas[[#This Row],[Quantidade]]</f>
        <v>5932</v>
      </c>
    </row>
    <row r="151" spans="2:9">
      <c r="B151" s="8">
        <v>149</v>
      </c>
      <c r="C151" s="8" t="s">
        <v>116</v>
      </c>
      <c r="D151" s="8" t="s">
        <v>9</v>
      </c>
      <c r="E151" s="12">
        <v>43229</v>
      </c>
      <c r="F151" s="8" t="s">
        <v>136</v>
      </c>
      <c r="G151" s="8">
        <v>2966</v>
      </c>
      <c r="H151" s="8">
        <v>2</v>
      </c>
      <c r="I151" s="8">
        <f>TabelaVendas[[#This Row],[ValorUni]]*TabelaVendas[[#This Row],[Quantidade]]</f>
        <v>5932</v>
      </c>
    </row>
    <row r="152" spans="2:9">
      <c r="B152" s="8">
        <v>150</v>
      </c>
      <c r="C152" s="8" t="s">
        <v>116</v>
      </c>
      <c r="D152" s="8" t="s">
        <v>47</v>
      </c>
      <c r="E152" s="12">
        <v>43961</v>
      </c>
      <c r="F152" s="8" t="s">
        <v>136</v>
      </c>
      <c r="G152" s="8">
        <v>2966</v>
      </c>
      <c r="H152" s="8">
        <v>3</v>
      </c>
      <c r="I152" s="8">
        <f>TabelaVendas[[#This Row],[ValorUni]]*TabelaVendas[[#This Row],[Quantidade]]</f>
        <v>8898</v>
      </c>
    </row>
    <row r="153" spans="2:9">
      <c r="B153" s="8">
        <v>151</v>
      </c>
      <c r="C153" s="8" t="s">
        <v>120</v>
      </c>
      <c r="D153" s="8" t="s">
        <v>47</v>
      </c>
      <c r="E153" s="12">
        <v>43964</v>
      </c>
      <c r="F153" s="8" t="s">
        <v>136</v>
      </c>
      <c r="G153" s="8">
        <v>2966</v>
      </c>
      <c r="H153" s="8">
        <v>1</v>
      </c>
      <c r="I153" s="8">
        <f>TabelaVendas[[#This Row],[ValorUni]]*TabelaVendas[[#This Row],[Quantidade]]</f>
        <v>2966</v>
      </c>
    </row>
    <row r="154" spans="2:9">
      <c r="B154" s="8">
        <v>152</v>
      </c>
      <c r="C154" s="8" t="s">
        <v>116</v>
      </c>
      <c r="D154" s="8" t="s">
        <v>47</v>
      </c>
      <c r="E154" s="12">
        <v>43234</v>
      </c>
      <c r="F154" s="8" t="s">
        <v>136</v>
      </c>
      <c r="G154" s="8">
        <v>2966</v>
      </c>
      <c r="H154" s="8">
        <v>1</v>
      </c>
      <c r="I154" s="8">
        <f>TabelaVendas[[#This Row],[ValorUni]]*TabelaVendas[[#This Row],[Quantidade]]</f>
        <v>2966</v>
      </c>
    </row>
    <row r="155" spans="2:9">
      <c r="B155" s="8">
        <v>153</v>
      </c>
      <c r="C155" s="8" t="s">
        <v>116</v>
      </c>
      <c r="D155" s="8" t="s">
        <v>47</v>
      </c>
      <c r="E155" s="12">
        <v>43234</v>
      </c>
      <c r="F155" s="8" t="s">
        <v>136</v>
      </c>
      <c r="G155" s="8">
        <v>2966</v>
      </c>
      <c r="H155" s="8">
        <v>3</v>
      </c>
      <c r="I155" s="8">
        <f>TabelaVendas[[#This Row],[ValorUni]]*TabelaVendas[[#This Row],[Quantidade]]</f>
        <v>8898</v>
      </c>
    </row>
    <row r="156" spans="2:9">
      <c r="B156" s="8">
        <v>154</v>
      </c>
      <c r="C156" s="8" t="s">
        <v>118</v>
      </c>
      <c r="D156" s="8" t="s">
        <v>47</v>
      </c>
      <c r="E156" s="12">
        <v>43234</v>
      </c>
      <c r="F156" s="8" t="s">
        <v>136</v>
      </c>
      <c r="G156" s="8">
        <v>2966</v>
      </c>
      <c r="H156" s="8">
        <v>2</v>
      </c>
      <c r="I156" s="8">
        <f>TabelaVendas[[#This Row],[ValorUni]]*TabelaVendas[[#This Row],[Quantidade]]</f>
        <v>5932</v>
      </c>
    </row>
    <row r="157" spans="2:9">
      <c r="B157" s="8">
        <v>155</v>
      </c>
      <c r="C157" s="8" t="s">
        <v>125</v>
      </c>
      <c r="D157" s="8" t="s">
        <v>47</v>
      </c>
      <c r="E157" s="12">
        <v>43235</v>
      </c>
      <c r="F157" s="8" t="s">
        <v>137</v>
      </c>
      <c r="G157" s="8">
        <v>2955</v>
      </c>
      <c r="H157" s="8">
        <v>2</v>
      </c>
      <c r="I157" s="8">
        <f>TabelaVendas[[#This Row],[ValorUni]]*TabelaVendas[[#This Row],[Quantidade]]</f>
        <v>5910</v>
      </c>
    </row>
    <row r="158" spans="2:9">
      <c r="B158" s="8">
        <v>156</v>
      </c>
      <c r="C158" s="8" t="s">
        <v>122</v>
      </c>
      <c r="D158" s="8" t="s">
        <v>47</v>
      </c>
      <c r="E158" s="12">
        <v>43602</v>
      </c>
      <c r="F158" s="8" t="s">
        <v>128</v>
      </c>
      <c r="G158" s="8">
        <v>155</v>
      </c>
      <c r="H158" s="8">
        <v>1</v>
      </c>
      <c r="I158" s="8">
        <f>TabelaVendas[[#This Row],[ValorUni]]*TabelaVendas[[#This Row],[Quantidade]]</f>
        <v>155</v>
      </c>
    </row>
    <row r="159" spans="2:9">
      <c r="B159" s="8">
        <v>157</v>
      </c>
      <c r="C159" s="8" t="s">
        <v>125</v>
      </c>
      <c r="D159" s="8" t="s">
        <v>46</v>
      </c>
      <c r="E159" s="12">
        <v>43968</v>
      </c>
      <c r="F159" s="8" t="s">
        <v>129</v>
      </c>
      <c r="G159" s="8">
        <v>188</v>
      </c>
      <c r="H159" s="8">
        <v>1</v>
      </c>
      <c r="I159" s="8">
        <f>TabelaVendas[[#This Row],[ValorUni]]*TabelaVendas[[#This Row],[Quantidade]]</f>
        <v>188</v>
      </c>
    </row>
    <row r="160" spans="2:9">
      <c r="B160" s="8">
        <v>158</v>
      </c>
      <c r="C160" s="8" t="s">
        <v>121</v>
      </c>
      <c r="D160" s="8" t="s">
        <v>58</v>
      </c>
      <c r="E160" s="12">
        <v>43238</v>
      </c>
      <c r="F160" s="8" t="s">
        <v>133</v>
      </c>
      <c r="G160" s="8">
        <v>9201</v>
      </c>
      <c r="H160" s="8">
        <v>2</v>
      </c>
      <c r="I160" s="8">
        <f>TabelaVendas[[#This Row],[ValorUni]]*TabelaVendas[[#This Row],[Quantidade]]</f>
        <v>18402</v>
      </c>
    </row>
    <row r="161" spans="2:9">
      <c r="B161" s="8">
        <v>159</v>
      </c>
      <c r="C161" s="8" t="s">
        <v>116</v>
      </c>
      <c r="D161" s="8" t="s">
        <v>32</v>
      </c>
      <c r="E161" s="12">
        <v>43239</v>
      </c>
      <c r="F161" s="8" t="s">
        <v>134</v>
      </c>
      <c r="G161" s="8">
        <v>4255</v>
      </c>
      <c r="H161" s="8">
        <v>3</v>
      </c>
      <c r="I161" s="8">
        <f>TabelaVendas[[#This Row],[ValorUni]]*TabelaVendas[[#This Row],[Quantidade]]</f>
        <v>12765</v>
      </c>
    </row>
    <row r="162" spans="2:9">
      <c r="B162" s="8">
        <v>160</v>
      </c>
      <c r="C162" s="8" t="s">
        <v>118</v>
      </c>
      <c r="D162" s="8" t="s">
        <v>115</v>
      </c>
      <c r="E162" s="12">
        <v>43239</v>
      </c>
      <c r="F162" s="8" t="s">
        <v>128</v>
      </c>
      <c r="G162" s="8">
        <v>155</v>
      </c>
      <c r="H162" s="8">
        <v>1</v>
      </c>
      <c r="I162" s="8">
        <f>TabelaVendas[[#This Row],[ValorUni]]*TabelaVendas[[#This Row],[Quantidade]]</f>
        <v>155</v>
      </c>
    </row>
    <row r="163" spans="2:9">
      <c r="B163" s="8">
        <v>161</v>
      </c>
      <c r="C163" s="8" t="s">
        <v>117</v>
      </c>
      <c r="D163" s="8" t="s">
        <v>89</v>
      </c>
      <c r="E163" s="12">
        <v>43973</v>
      </c>
      <c r="F163" s="8" t="s">
        <v>130</v>
      </c>
      <c r="G163" s="8">
        <v>115</v>
      </c>
      <c r="H163" s="8">
        <v>1</v>
      </c>
      <c r="I163" s="8">
        <f>TabelaVendas[[#This Row],[ValorUni]]*TabelaVendas[[#This Row],[Quantidade]]</f>
        <v>115</v>
      </c>
    </row>
    <row r="164" spans="2:9">
      <c r="B164" s="8">
        <v>162</v>
      </c>
      <c r="C164" s="8" t="s">
        <v>124</v>
      </c>
      <c r="D164" s="8" t="s">
        <v>46</v>
      </c>
      <c r="E164" s="12">
        <v>43243</v>
      </c>
      <c r="F164" s="8" t="s">
        <v>133</v>
      </c>
      <c r="G164" s="8">
        <v>9201</v>
      </c>
      <c r="H164" s="8">
        <v>1</v>
      </c>
      <c r="I164" s="8">
        <f>TabelaVendas[[#This Row],[ValorUni]]*TabelaVendas[[#This Row],[Quantidade]]</f>
        <v>9201</v>
      </c>
    </row>
    <row r="165" spans="2:9">
      <c r="B165" s="8">
        <v>163</v>
      </c>
      <c r="C165" s="8" t="s">
        <v>117</v>
      </c>
      <c r="D165" s="8" t="s">
        <v>82</v>
      </c>
      <c r="E165" s="12">
        <v>43975</v>
      </c>
      <c r="F165" s="8" t="s">
        <v>137</v>
      </c>
      <c r="G165" s="8">
        <v>7658</v>
      </c>
      <c r="H165" s="8">
        <v>2</v>
      </c>
      <c r="I165" s="8">
        <f>TabelaVendas[[#This Row],[ValorUni]]*TabelaVendas[[#This Row],[Quantidade]]</f>
        <v>15316</v>
      </c>
    </row>
    <row r="166" spans="2:9">
      <c r="B166" s="8">
        <v>164</v>
      </c>
      <c r="C166" s="8" t="s">
        <v>121</v>
      </c>
      <c r="D166" s="8" t="s">
        <v>115</v>
      </c>
      <c r="E166" s="12">
        <v>43977</v>
      </c>
      <c r="F166" s="8" t="s">
        <v>137</v>
      </c>
      <c r="G166" s="8">
        <v>4255</v>
      </c>
      <c r="H166" s="8">
        <v>1</v>
      </c>
      <c r="I166" s="8">
        <f>TabelaVendas[[#This Row],[ValorUni]]*TabelaVendas[[#This Row],[Quantidade]]</f>
        <v>4255</v>
      </c>
    </row>
    <row r="167" spans="2:9">
      <c r="B167" s="8">
        <v>165</v>
      </c>
      <c r="C167" s="8" t="s">
        <v>121</v>
      </c>
      <c r="D167" s="8" t="s">
        <v>32</v>
      </c>
      <c r="E167" s="12">
        <v>43978</v>
      </c>
      <c r="F167" s="8" t="s">
        <v>137</v>
      </c>
      <c r="G167" s="8">
        <v>2955</v>
      </c>
      <c r="H167" s="8">
        <v>1</v>
      </c>
      <c r="I167" s="8">
        <f>TabelaVendas[[#This Row],[ValorUni]]*TabelaVendas[[#This Row],[Quantidade]]</f>
        <v>2955</v>
      </c>
    </row>
    <row r="168" spans="2:9">
      <c r="B168" s="8">
        <v>166</v>
      </c>
      <c r="C168" s="8" t="s">
        <v>116</v>
      </c>
      <c r="D168" s="8" t="s">
        <v>30</v>
      </c>
      <c r="E168" s="12">
        <v>43613</v>
      </c>
      <c r="F168" s="8" t="s">
        <v>131</v>
      </c>
      <c r="G168" s="8">
        <v>135</v>
      </c>
      <c r="H168" s="8">
        <v>1</v>
      </c>
      <c r="I168" s="8">
        <f>TabelaVendas[[#This Row],[ValorUni]]*TabelaVendas[[#This Row],[Quantidade]]</f>
        <v>135</v>
      </c>
    </row>
    <row r="169" spans="2:9">
      <c r="B169" s="8">
        <v>167</v>
      </c>
      <c r="C169" s="8" t="s">
        <v>124</v>
      </c>
      <c r="D169" s="8" t="s">
        <v>61</v>
      </c>
      <c r="E169" s="12">
        <v>43613</v>
      </c>
      <c r="F169" s="8" t="s">
        <v>136</v>
      </c>
      <c r="G169" s="8">
        <v>2966</v>
      </c>
      <c r="H169" s="8">
        <v>3</v>
      </c>
      <c r="I169" s="8">
        <f>TabelaVendas[[#This Row],[ValorUni]]*TabelaVendas[[#This Row],[Quantidade]]</f>
        <v>8898</v>
      </c>
    </row>
    <row r="170" spans="2:9">
      <c r="B170" s="8">
        <v>168</v>
      </c>
      <c r="C170" s="8" t="s">
        <v>118</v>
      </c>
      <c r="D170" s="8" t="s">
        <v>50</v>
      </c>
      <c r="E170" s="12">
        <v>43981</v>
      </c>
      <c r="F170" s="8" t="s">
        <v>131</v>
      </c>
      <c r="G170" s="8">
        <v>135</v>
      </c>
      <c r="H170" s="8">
        <v>1</v>
      </c>
      <c r="I170" s="8">
        <f>TabelaVendas[[#This Row],[ValorUni]]*TabelaVendas[[#This Row],[Quantidade]]</f>
        <v>135</v>
      </c>
    </row>
    <row r="171" spans="2:9">
      <c r="B171" s="8">
        <v>169</v>
      </c>
      <c r="C171" s="8" t="s">
        <v>119</v>
      </c>
      <c r="D171" s="8" t="s">
        <v>115</v>
      </c>
      <c r="E171" s="12">
        <v>43615</v>
      </c>
      <c r="F171" s="8" t="s">
        <v>131</v>
      </c>
      <c r="G171" s="8">
        <v>135</v>
      </c>
      <c r="H171" s="8">
        <v>2</v>
      </c>
      <c r="I171" s="8">
        <f>TabelaVendas[[#This Row],[ValorUni]]*TabelaVendas[[#This Row],[Quantidade]]</f>
        <v>270</v>
      </c>
    </row>
    <row r="172" spans="2:9">
      <c r="B172" s="8">
        <v>170</v>
      </c>
      <c r="C172" s="8" t="s">
        <v>117</v>
      </c>
      <c r="D172" s="8" t="s">
        <v>61</v>
      </c>
      <c r="E172" s="12">
        <v>43250</v>
      </c>
      <c r="F172" s="8" t="s">
        <v>133</v>
      </c>
      <c r="G172" s="8">
        <v>9201</v>
      </c>
      <c r="H172" s="8">
        <v>3</v>
      </c>
      <c r="I172" s="8">
        <f>TabelaVendas[[#This Row],[ValorUni]]*TabelaVendas[[#This Row],[Quantidade]]</f>
        <v>27603</v>
      </c>
    </row>
    <row r="173" spans="2:9">
      <c r="B173" s="8">
        <v>171</v>
      </c>
      <c r="C173" s="8" t="s">
        <v>125</v>
      </c>
      <c r="D173" s="8" t="s">
        <v>58</v>
      </c>
      <c r="E173" s="12">
        <v>43615</v>
      </c>
      <c r="F173" s="8" t="s">
        <v>131</v>
      </c>
      <c r="G173" s="8">
        <v>135</v>
      </c>
      <c r="H173" s="8">
        <v>3</v>
      </c>
      <c r="I173" s="8">
        <f>TabelaVendas[[#This Row],[ValorUni]]*TabelaVendas[[#This Row],[Quantidade]]</f>
        <v>405</v>
      </c>
    </row>
    <row r="174" spans="2:9">
      <c r="B174" s="8">
        <v>172</v>
      </c>
      <c r="C174" s="8" t="s">
        <v>120</v>
      </c>
      <c r="D174" s="8" t="s">
        <v>58</v>
      </c>
      <c r="E174" s="12">
        <v>43253</v>
      </c>
      <c r="F174" s="8" t="s">
        <v>135</v>
      </c>
      <c r="G174" s="8">
        <v>7658</v>
      </c>
      <c r="H174" s="8">
        <v>1</v>
      </c>
      <c r="I174" s="8">
        <f>TabelaVendas[[#This Row],[ValorUni]]*TabelaVendas[[#This Row],[Quantidade]]</f>
        <v>7658</v>
      </c>
    </row>
    <row r="175" spans="2:9">
      <c r="B175" s="8">
        <v>173</v>
      </c>
      <c r="C175" s="8" t="s">
        <v>121</v>
      </c>
      <c r="D175" s="8" t="s">
        <v>32</v>
      </c>
      <c r="E175" s="12">
        <v>43986</v>
      </c>
      <c r="F175" s="8" t="s">
        <v>134</v>
      </c>
      <c r="G175" s="8">
        <v>4255</v>
      </c>
      <c r="H175" s="8">
        <v>2</v>
      </c>
      <c r="I175" s="8">
        <f>TabelaVendas[[#This Row],[ValorUni]]*TabelaVendas[[#This Row],[Quantidade]]</f>
        <v>8510</v>
      </c>
    </row>
    <row r="176" spans="2:9">
      <c r="B176" s="8">
        <v>174</v>
      </c>
      <c r="C176" s="8" t="s">
        <v>123</v>
      </c>
      <c r="D176" s="8" t="s">
        <v>26</v>
      </c>
      <c r="E176" s="12">
        <v>43988</v>
      </c>
      <c r="F176" s="8" t="s">
        <v>134</v>
      </c>
      <c r="G176" s="8">
        <v>4255</v>
      </c>
      <c r="H176" s="8">
        <v>3</v>
      </c>
      <c r="I176" s="8">
        <f>TabelaVendas[[#This Row],[ValorUni]]*TabelaVendas[[#This Row],[Quantidade]]</f>
        <v>12765</v>
      </c>
    </row>
    <row r="177" spans="2:9">
      <c r="B177" s="8">
        <v>175</v>
      </c>
      <c r="C177" s="8" t="s">
        <v>121</v>
      </c>
      <c r="D177" s="8" t="s">
        <v>88</v>
      </c>
      <c r="E177" s="12">
        <v>43259</v>
      </c>
      <c r="F177" s="8" t="s">
        <v>130</v>
      </c>
      <c r="G177" s="8">
        <v>115</v>
      </c>
      <c r="H177" s="8">
        <v>1</v>
      </c>
      <c r="I177" s="8">
        <f>TabelaVendas[[#This Row],[ValorUni]]*TabelaVendas[[#This Row],[Quantidade]]</f>
        <v>115</v>
      </c>
    </row>
    <row r="178" spans="2:9">
      <c r="B178" s="8">
        <v>176</v>
      </c>
      <c r="C178" s="8" t="s">
        <v>124</v>
      </c>
      <c r="D178" s="8" t="s">
        <v>47</v>
      </c>
      <c r="E178" s="12">
        <v>43625</v>
      </c>
      <c r="F178" s="8" t="s">
        <v>130</v>
      </c>
      <c r="G178" s="8">
        <v>115</v>
      </c>
      <c r="H178" s="8">
        <v>3</v>
      </c>
      <c r="I178" s="8">
        <f>TabelaVendas[[#This Row],[ValorUni]]*TabelaVendas[[#This Row],[Quantidade]]</f>
        <v>345</v>
      </c>
    </row>
    <row r="179" spans="2:9">
      <c r="B179" s="8">
        <v>177</v>
      </c>
      <c r="C179" s="8" t="s">
        <v>125</v>
      </c>
      <c r="D179" s="8" t="s">
        <v>106</v>
      </c>
      <c r="E179" s="12">
        <v>43628</v>
      </c>
      <c r="F179" s="8" t="s">
        <v>129</v>
      </c>
      <c r="G179" s="8">
        <v>188</v>
      </c>
      <c r="H179" s="8">
        <v>1</v>
      </c>
      <c r="I179" s="8">
        <f>TabelaVendas[[#This Row],[ValorUni]]*TabelaVendas[[#This Row],[Quantidade]]</f>
        <v>188</v>
      </c>
    </row>
    <row r="180" spans="2:9">
      <c r="B180" s="8">
        <v>178</v>
      </c>
      <c r="C180" s="8" t="s">
        <v>116</v>
      </c>
      <c r="D180" s="8" t="s">
        <v>91</v>
      </c>
      <c r="E180" s="12">
        <v>43997</v>
      </c>
      <c r="F180" s="8" t="s">
        <v>130</v>
      </c>
      <c r="G180" s="8">
        <v>115</v>
      </c>
      <c r="H180" s="8">
        <v>1</v>
      </c>
      <c r="I180" s="8">
        <f>TabelaVendas[[#This Row],[ValorUni]]*TabelaVendas[[#This Row],[Quantidade]]</f>
        <v>115</v>
      </c>
    </row>
    <row r="181" spans="2:9">
      <c r="B181" s="8">
        <v>179</v>
      </c>
      <c r="C181" s="8" t="s">
        <v>116</v>
      </c>
      <c r="D181" s="8" t="s">
        <v>46</v>
      </c>
      <c r="E181" s="12">
        <v>43631</v>
      </c>
      <c r="F181" s="8" t="s">
        <v>135</v>
      </c>
      <c r="G181" s="8">
        <v>7658</v>
      </c>
      <c r="H181" s="8">
        <v>2</v>
      </c>
      <c r="I181" s="8">
        <f>TabelaVendas[[#This Row],[ValorUni]]*TabelaVendas[[#This Row],[Quantidade]]</f>
        <v>15316</v>
      </c>
    </row>
    <row r="182" spans="2:9">
      <c r="B182" s="8">
        <v>180</v>
      </c>
      <c r="C182" s="8" t="s">
        <v>116</v>
      </c>
      <c r="D182" s="8" t="s">
        <v>92</v>
      </c>
      <c r="E182" s="12">
        <v>43266</v>
      </c>
      <c r="F182" s="8" t="s">
        <v>133</v>
      </c>
      <c r="G182" s="8">
        <v>9201</v>
      </c>
      <c r="H182" s="8">
        <v>3</v>
      </c>
      <c r="I182" s="8">
        <f>TabelaVendas[[#This Row],[ValorUni]]*TabelaVendas[[#This Row],[Quantidade]]</f>
        <v>27603</v>
      </c>
    </row>
    <row r="183" spans="2:9">
      <c r="B183" s="8">
        <v>181</v>
      </c>
      <c r="C183" s="8" t="s">
        <v>116</v>
      </c>
      <c r="D183" s="8" t="s">
        <v>95</v>
      </c>
      <c r="E183" s="12">
        <v>43997</v>
      </c>
      <c r="F183" s="8" t="s">
        <v>137</v>
      </c>
      <c r="G183" s="8">
        <v>2955</v>
      </c>
      <c r="H183" s="8">
        <v>1</v>
      </c>
      <c r="I183" s="8">
        <f>TabelaVendas[[#This Row],[ValorUni]]*TabelaVendas[[#This Row],[Quantidade]]</f>
        <v>2955</v>
      </c>
    </row>
    <row r="184" spans="2:9">
      <c r="B184" s="8">
        <v>182</v>
      </c>
      <c r="C184" s="8" t="s">
        <v>117</v>
      </c>
      <c r="D184" s="8" t="s">
        <v>95</v>
      </c>
      <c r="E184" s="12">
        <v>43267</v>
      </c>
      <c r="F184" s="8" t="s">
        <v>133</v>
      </c>
      <c r="G184" s="8">
        <v>9201</v>
      </c>
      <c r="H184" s="8">
        <v>2</v>
      </c>
      <c r="I184" s="8">
        <f>TabelaVendas[[#This Row],[ValorUni]]*TabelaVendas[[#This Row],[Quantidade]]</f>
        <v>18402</v>
      </c>
    </row>
    <row r="185" spans="2:9">
      <c r="B185" s="8">
        <v>183</v>
      </c>
      <c r="C185" s="8" t="s">
        <v>121</v>
      </c>
      <c r="D185" s="8" t="s">
        <v>95</v>
      </c>
      <c r="E185" s="12">
        <v>43632</v>
      </c>
      <c r="F185" s="8" t="s">
        <v>135</v>
      </c>
      <c r="G185" s="8">
        <v>7658</v>
      </c>
      <c r="H185" s="8">
        <v>2</v>
      </c>
      <c r="I185" s="8">
        <f>TabelaVendas[[#This Row],[ValorUni]]*TabelaVendas[[#This Row],[Quantidade]]</f>
        <v>15316</v>
      </c>
    </row>
    <row r="186" spans="2:9">
      <c r="B186" s="8">
        <v>184</v>
      </c>
      <c r="C186" s="8" t="s">
        <v>118</v>
      </c>
      <c r="D186" s="8" t="s">
        <v>47</v>
      </c>
      <c r="E186" s="12">
        <v>43999</v>
      </c>
      <c r="F186" s="8" t="s">
        <v>128</v>
      </c>
      <c r="G186" s="8">
        <v>155</v>
      </c>
      <c r="H186" s="8">
        <v>1</v>
      </c>
      <c r="I186" s="8">
        <f>TabelaVendas[[#This Row],[ValorUni]]*TabelaVendas[[#This Row],[Quantidade]]</f>
        <v>155</v>
      </c>
    </row>
    <row r="187" spans="2:9">
      <c r="B187" s="8">
        <v>185</v>
      </c>
      <c r="C187" s="8" t="s">
        <v>124</v>
      </c>
      <c r="D187" s="8" t="s">
        <v>58</v>
      </c>
      <c r="E187" s="12">
        <v>43268</v>
      </c>
      <c r="F187" s="8" t="s">
        <v>135</v>
      </c>
      <c r="G187" s="8">
        <v>7658</v>
      </c>
      <c r="H187" s="8">
        <v>1</v>
      </c>
      <c r="I187" s="8">
        <f>TabelaVendas[[#This Row],[ValorUni]]*TabelaVendas[[#This Row],[Quantidade]]</f>
        <v>7658</v>
      </c>
    </row>
    <row r="188" spans="2:9">
      <c r="B188" s="8">
        <v>186</v>
      </c>
      <c r="C188" s="8" t="s">
        <v>117</v>
      </c>
      <c r="D188" s="8" t="s">
        <v>91</v>
      </c>
      <c r="E188" s="12">
        <v>43999</v>
      </c>
      <c r="F188" s="8" t="s">
        <v>134</v>
      </c>
      <c r="G188" s="8">
        <v>4255</v>
      </c>
      <c r="H188" s="8">
        <v>2</v>
      </c>
      <c r="I188" s="8">
        <f>TabelaVendas[[#This Row],[ValorUni]]*TabelaVendas[[#This Row],[Quantidade]]</f>
        <v>8510</v>
      </c>
    </row>
    <row r="189" spans="2:9">
      <c r="B189" s="8">
        <v>187</v>
      </c>
      <c r="C189" s="8" t="s">
        <v>121</v>
      </c>
      <c r="D189" s="8" t="s">
        <v>47</v>
      </c>
      <c r="E189" s="12">
        <v>43268</v>
      </c>
      <c r="F189" s="8" t="s">
        <v>130</v>
      </c>
      <c r="G189" s="8">
        <v>115</v>
      </c>
      <c r="H189" s="8">
        <v>2</v>
      </c>
      <c r="I189" s="8">
        <f>TabelaVendas[[#This Row],[ValorUni]]*TabelaVendas[[#This Row],[Quantidade]]</f>
        <v>230</v>
      </c>
    </row>
    <row r="190" spans="2:9">
      <c r="B190" s="8">
        <v>188</v>
      </c>
      <c r="C190" s="8" t="s">
        <v>122</v>
      </c>
      <c r="D190" s="8" t="s">
        <v>47</v>
      </c>
      <c r="E190" s="12">
        <v>44001</v>
      </c>
      <c r="F190" s="8" t="s">
        <v>130</v>
      </c>
      <c r="G190" s="8">
        <v>115</v>
      </c>
      <c r="H190" s="8">
        <v>2</v>
      </c>
      <c r="I190" s="8">
        <f>TabelaVendas[[#This Row],[ValorUni]]*TabelaVendas[[#This Row],[Quantidade]]</f>
        <v>230</v>
      </c>
    </row>
    <row r="191" spans="2:9">
      <c r="B191" s="8">
        <v>189</v>
      </c>
      <c r="C191" s="8" t="s">
        <v>119</v>
      </c>
      <c r="D191" s="8" t="s">
        <v>47</v>
      </c>
      <c r="E191" s="12">
        <v>43271</v>
      </c>
      <c r="F191" s="8" t="s">
        <v>136</v>
      </c>
      <c r="G191" s="8">
        <v>2966</v>
      </c>
      <c r="H191" s="8">
        <v>3</v>
      </c>
      <c r="I191" s="8">
        <f>TabelaVendas[[#This Row],[ValorUni]]*TabelaVendas[[#This Row],[Quantidade]]</f>
        <v>8898</v>
      </c>
    </row>
    <row r="192" spans="2:9">
      <c r="B192" s="8">
        <v>190</v>
      </c>
      <c r="C192" s="8" t="s">
        <v>120</v>
      </c>
      <c r="D192" s="8" t="s">
        <v>47</v>
      </c>
      <c r="E192" s="12">
        <v>43637</v>
      </c>
      <c r="F192" s="8" t="s">
        <v>131</v>
      </c>
      <c r="G192" s="8">
        <v>135</v>
      </c>
      <c r="H192" s="8">
        <v>1</v>
      </c>
      <c r="I192" s="8">
        <f>TabelaVendas[[#This Row],[ValorUni]]*TabelaVendas[[#This Row],[Quantidade]]</f>
        <v>135</v>
      </c>
    </row>
    <row r="193" spans="2:9">
      <c r="B193" s="8">
        <v>191</v>
      </c>
      <c r="C193" s="8" t="s">
        <v>121</v>
      </c>
      <c r="D193" s="8" t="s">
        <v>47</v>
      </c>
      <c r="E193" s="12">
        <v>43640</v>
      </c>
      <c r="F193" s="8" t="s">
        <v>130</v>
      </c>
      <c r="G193" s="8">
        <v>115</v>
      </c>
      <c r="H193" s="8">
        <v>1</v>
      </c>
      <c r="I193" s="8">
        <f>TabelaVendas[[#This Row],[ValorUni]]*TabelaVendas[[#This Row],[Quantidade]]</f>
        <v>115</v>
      </c>
    </row>
    <row r="194" spans="2:9">
      <c r="B194" s="8">
        <v>192</v>
      </c>
      <c r="C194" s="8" t="s">
        <v>120</v>
      </c>
      <c r="D194" s="8" t="s">
        <v>92</v>
      </c>
      <c r="E194" s="12">
        <v>43276</v>
      </c>
      <c r="F194" s="8" t="s">
        <v>134</v>
      </c>
      <c r="G194" s="8">
        <v>4255</v>
      </c>
      <c r="H194" s="8">
        <v>3</v>
      </c>
      <c r="I194" s="8">
        <f>TabelaVendas[[#This Row],[ValorUni]]*TabelaVendas[[#This Row],[Quantidade]]</f>
        <v>12765</v>
      </c>
    </row>
    <row r="195" spans="2:9">
      <c r="B195" s="8">
        <v>193</v>
      </c>
      <c r="C195" s="8" t="s">
        <v>120</v>
      </c>
      <c r="D195" s="8" t="s">
        <v>82</v>
      </c>
      <c r="E195" s="12">
        <v>43277</v>
      </c>
      <c r="F195" s="8" t="s">
        <v>136</v>
      </c>
      <c r="G195" s="8">
        <v>2966</v>
      </c>
      <c r="H195" s="8">
        <v>3</v>
      </c>
      <c r="I195" s="8">
        <f>TabelaVendas[[#This Row],[ValorUni]]*TabelaVendas[[#This Row],[Quantidade]]</f>
        <v>8898</v>
      </c>
    </row>
    <row r="196" spans="2:9">
      <c r="B196" s="8">
        <v>194</v>
      </c>
      <c r="C196" s="8" t="s">
        <v>125</v>
      </c>
      <c r="D196" s="8" t="s">
        <v>95</v>
      </c>
      <c r="E196" s="12">
        <v>43278</v>
      </c>
      <c r="F196" s="8" t="s">
        <v>134</v>
      </c>
      <c r="G196" s="8">
        <v>4255</v>
      </c>
      <c r="H196" s="8">
        <v>2</v>
      </c>
      <c r="I196" s="8">
        <f>TabelaVendas[[#This Row],[ValorUni]]*TabelaVendas[[#This Row],[Quantidade]]</f>
        <v>8510</v>
      </c>
    </row>
    <row r="197" spans="2:9">
      <c r="B197" s="8">
        <v>195</v>
      </c>
      <c r="C197" s="8" t="s">
        <v>122</v>
      </c>
      <c r="D197" s="8" t="s">
        <v>43</v>
      </c>
      <c r="E197" s="12">
        <v>43644</v>
      </c>
      <c r="F197" s="8" t="s">
        <v>134</v>
      </c>
      <c r="G197" s="8">
        <v>4255</v>
      </c>
      <c r="H197" s="8">
        <v>1</v>
      </c>
      <c r="I197" s="8">
        <f>TabelaVendas[[#This Row],[ValorUni]]*TabelaVendas[[#This Row],[Quantidade]]</f>
        <v>4255</v>
      </c>
    </row>
    <row r="198" spans="2:9">
      <c r="B198" s="8">
        <v>196</v>
      </c>
      <c r="C198" s="8" t="s">
        <v>121</v>
      </c>
      <c r="D198" s="8" t="s">
        <v>30</v>
      </c>
      <c r="E198" s="12">
        <v>43280</v>
      </c>
      <c r="F198" s="8" t="s">
        <v>131</v>
      </c>
      <c r="G198" s="8">
        <v>135</v>
      </c>
      <c r="H198" s="8">
        <v>1</v>
      </c>
      <c r="I198" s="8">
        <f>TabelaVendas[[#This Row],[ValorUni]]*TabelaVendas[[#This Row],[Quantidade]]</f>
        <v>135</v>
      </c>
    </row>
    <row r="199" spans="2:9">
      <c r="B199" s="8">
        <v>197</v>
      </c>
      <c r="C199" s="8" t="s">
        <v>121</v>
      </c>
      <c r="D199" s="8" t="s">
        <v>66</v>
      </c>
      <c r="E199" s="12">
        <v>43281</v>
      </c>
      <c r="F199" s="8" t="s">
        <v>136</v>
      </c>
      <c r="G199" s="8">
        <v>2966</v>
      </c>
      <c r="H199" s="8">
        <v>1</v>
      </c>
      <c r="I199" s="8">
        <f>TabelaVendas[[#This Row],[ValorUni]]*TabelaVendas[[#This Row],[Quantidade]]</f>
        <v>2966</v>
      </c>
    </row>
    <row r="200" spans="2:9">
      <c r="B200" s="8">
        <v>198</v>
      </c>
      <c r="C200" s="8" t="s">
        <v>117</v>
      </c>
      <c r="D200" s="8" t="s">
        <v>106</v>
      </c>
      <c r="E200" s="12">
        <v>43284</v>
      </c>
      <c r="F200" s="8" t="s">
        <v>136</v>
      </c>
      <c r="G200" s="8">
        <v>2966</v>
      </c>
      <c r="H200" s="8">
        <v>3</v>
      </c>
      <c r="I200" s="8">
        <f>TabelaVendas[[#This Row],[ValorUni]]*TabelaVendas[[#This Row],[Quantidade]]</f>
        <v>8898</v>
      </c>
    </row>
    <row r="201" spans="2:9">
      <c r="B201" s="8">
        <v>199</v>
      </c>
      <c r="C201" s="8" t="s">
        <v>120</v>
      </c>
      <c r="D201" s="8" t="s">
        <v>18</v>
      </c>
      <c r="E201" s="12">
        <v>43650</v>
      </c>
      <c r="F201" s="8" t="s">
        <v>136</v>
      </c>
      <c r="G201" s="8">
        <v>2966</v>
      </c>
      <c r="H201" s="8">
        <v>1</v>
      </c>
      <c r="I201" s="8">
        <f>TabelaVendas[[#This Row],[ValorUni]]*TabelaVendas[[#This Row],[Quantidade]]</f>
        <v>2966</v>
      </c>
    </row>
    <row r="202" spans="2:9">
      <c r="B202" s="8">
        <v>200</v>
      </c>
      <c r="C202" s="8" t="s">
        <v>118</v>
      </c>
      <c r="D202" s="8" t="s">
        <v>26</v>
      </c>
      <c r="E202" s="12">
        <v>43286</v>
      </c>
      <c r="F202" s="8" t="s">
        <v>136</v>
      </c>
      <c r="G202" s="8">
        <v>2966</v>
      </c>
      <c r="H202" s="8">
        <v>2</v>
      </c>
      <c r="I202" s="8">
        <f>TabelaVendas[[#This Row],[ValorUni]]*TabelaVendas[[#This Row],[Quantidade]]</f>
        <v>5932</v>
      </c>
    </row>
    <row r="203" spans="2:9">
      <c r="B203" s="8">
        <v>201</v>
      </c>
      <c r="C203" s="8" t="s">
        <v>117</v>
      </c>
      <c r="D203" s="8" t="s">
        <v>61</v>
      </c>
      <c r="E203" s="12">
        <v>43286</v>
      </c>
      <c r="F203" s="8" t="s">
        <v>136</v>
      </c>
      <c r="G203" s="8">
        <v>2966</v>
      </c>
      <c r="H203" s="8">
        <v>3</v>
      </c>
      <c r="I203" s="8">
        <f>TabelaVendas[[#This Row],[ValorUni]]*TabelaVendas[[#This Row],[Quantidade]]</f>
        <v>8898</v>
      </c>
    </row>
    <row r="204" spans="2:9">
      <c r="B204" s="8">
        <v>202</v>
      </c>
      <c r="C204" s="8" t="s">
        <v>123</v>
      </c>
      <c r="D204" s="8" t="s">
        <v>58</v>
      </c>
      <c r="E204" s="12">
        <v>44017</v>
      </c>
      <c r="F204" s="8" t="s">
        <v>136</v>
      </c>
      <c r="G204" s="8">
        <v>2966</v>
      </c>
      <c r="H204" s="8">
        <v>3</v>
      </c>
      <c r="I204" s="8">
        <f>TabelaVendas[[#This Row],[ValorUni]]*TabelaVendas[[#This Row],[Quantidade]]</f>
        <v>8898</v>
      </c>
    </row>
    <row r="205" spans="2:9">
      <c r="B205" s="8">
        <v>203</v>
      </c>
      <c r="C205" s="8" t="s">
        <v>121</v>
      </c>
      <c r="D205" s="8" t="s">
        <v>46</v>
      </c>
      <c r="E205" s="12">
        <v>43287</v>
      </c>
      <c r="F205" s="8" t="s">
        <v>136</v>
      </c>
      <c r="G205" s="8">
        <v>2966</v>
      </c>
      <c r="H205" s="8">
        <v>3</v>
      </c>
      <c r="I205" s="8">
        <f>TabelaVendas[[#This Row],[ValorUni]]*TabelaVendas[[#This Row],[Quantidade]]</f>
        <v>8898</v>
      </c>
    </row>
    <row r="206" spans="2:9">
      <c r="B206" s="8">
        <v>204</v>
      </c>
      <c r="C206" s="8" t="s">
        <v>124</v>
      </c>
      <c r="D206" s="8" t="s">
        <v>15</v>
      </c>
      <c r="E206" s="12">
        <v>43652</v>
      </c>
      <c r="F206" s="8" t="s">
        <v>128</v>
      </c>
      <c r="G206" s="8">
        <v>155</v>
      </c>
      <c r="H206" s="8">
        <v>1</v>
      </c>
      <c r="I206" s="8">
        <f>TabelaVendas[[#This Row],[ValorUni]]*TabelaVendas[[#This Row],[Quantidade]]</f>
        <v>155</v>
      </c>
    </row>
    <row r="207" spans="2:9">
      <c r="B207" s="8">
        <v>205</v>
      </c>
      <c r="C207" s="8" t="s">
        <v>116</v>
      </c>
      <c r="D207" s="8" t="s">
        <v>66</v>
      </c>
      <c r="E207" s="12">
        <v>43652</v>
      </c>
      <c r="F207" s="8" t="s">
        <v>132</v>
      </c>
      <c r="G207" s="8">
        <v>8852</v>
      </c>
      <c r="H207" s="8">
        <v>3</v>
      </c>
      <c r="I207" s="8">
        <f>TabelaVendas[[#This Row],[ValorUni]]*TabelaVendas[[#This Row],[Quantidade]]</f>
        <v>26556</v>
      </c>
    </row>
    <row r="208" spans="2:9">
      <c r="B208" s="8">
        <v>206</v>
      </c>
      <c r="C208" s="8" t="s">
        <v>116</v>
      </c>
      <c r="D208" s="8" t="s">
        <v>88</v>
      </c>
      <c r="E208" s="12">
        <v>43287</v>
      </c>
      <c r="F208" s="8" t="s">
        <v>131</v>
      </c>
      <c r="G208" s="8">
        <v>135</v>
      </c>
      <c r="H208" s="8">
        <v>3</v>
      </c>
      <c r="I208" s="8">
        <f>TabelaVendas[[#This Row],[ValorUni]]*TabelaVendas[[#This Row],[Quantidade]]</f>
        <v>405</v>
      </c>
    </row>
    <row r="209" spans="2:9">
      <c r="B209" s="8">
        <v>207</v>
      </c>
      <c r="C209" s="8" t="s">
        <v>116</v>
      </c>
      <c r="D209" s="8" t="s">
        <v>58</v>
      </c>
      <c r="E209" s="12">
        <v>43290</v>
      </c>
      <c r="F209" s="8" t="s">
        <v>128</v>
      </c>
      <c r="G209" s="8">
        <v>155</v>
      </c>
      <c r="H209" s="8">
        <v>3</v>
      </c>
      <c r="I209" s="8">
        <f>TabelaVendas[[#This Row],[ValorUni]]*TabelaVendas[[#This Row],[Quantidade]]</f>
        <v>465</v>
      </c>
    </row>
    <row r="210" spans="2:9">
      <c r="B210" s="8">
        <v>208</v>
      </c>
      <c r="C210" s="8" t="s">
        <v>116</v>
      </c>
      <c r="D210" s="8" t="s">
        <v>95</v>
      </c>
      <c r="E210" s="12">
        <v>43291</v>
      </c>
      <c r="F210" s="8" t="s">
        <v>133</v>
      </c>
      <c r="G210" s="8">
        <v>9201</v>
      </c>
      <c r="H210" s="8">
        <v>1</v>
      </c>
      <c r="I210" s="8">
        <f>TabelaVendas[[#This Row],[ValorUni]]*TabelaVendas[[#This Row],[Quantidade]]</f>
        <v>9201</v>
      </c>
    </row>
    <row r="211" spans="2:9">
      <c r="B211" s="8">
        <v>209</v>
      </c>
      <c r="C211" s="8" t="s">
        <v>124</v>
      </c>
      <c r="D211" s="8" t="s">
        <v>17</v>
      </c>
      <c r="E211" s="12">
        <v>43292</v>
      </c>
      <c r="F211" s="8" t="s">
        <v>134</v>
      </c>
      <c r="G211" s="8">
        <v>4255</v>
      </c>
      <c r="H211" s="8">
        <v>1</v>
      </c>
      <c r="I211" s="8">
        <f>TabelaVendas[[#This Row],[ValorUni]]*TabelaVendas[[#This Row],[Quantidade]]</f>
        <v>4255</v>
      </c>
    </row>
    <row r="212" spans="2:9">
      <c r="B212" s="8">
        <v>210</v>
      </c>
      <c r="C212" s="8" t="s">
        <v>117</v>
      </c>
      <c r="D212" s="8" t="s">
        <v>50</v>
      </c>
      <c r="E212" s="12">
        <v>44023</v>
      </c>
      <c r="F212" s="8" t="s">
        <v>131</v>
      </c>
      <c r="G212" s="8">
        <v>135</v>
      </c>
      <c r="H212" s="8">
        <v>3</v>
      </c>
      <c r="I212" s="8">
        <f>TabelaVendas[[#This Row],[ValorUni]]*TabelaVendas[[#This Row],[Quantidade]]</f>
        <v>405</v>
      </c>
    </row>
    <row r="213" spans="2:9">
      <c r="B213" s="8">
        <v>211</v>
      </c>
      <c r="C213" s="8" t="s">
        <v>125</v>
      </c>
      <c r="D213" s="8" t="s">
        <v>18</v>
      </c>
      <c r="E213" s="12">
        <v>43293</v>
      </c>
      <c r="F213" s="8" t="s">
        <v>137</v>
      </c>
      <c r="G213" s="8">
        <v>2955</v>
      </c>
      <c r="H213" s="8">
        <v>2</v>
      </c>
      <c r="I213" s="8">
        <f>TabelaVendas[[#This Row],[ValorUni]]*TabelaVendas[[#This Row],[Quantidade]]</f>
        <v>5910</v>
      </c>
    </row>
    <row r="214" spans="2:9">
      <c r="B214" s="8">
        <v>212</v>
      </c>
      <c r="C214" s="8" t="s">
        <v>125</v>
      </c>
      <c r="D214" s="8" t="s">
        <v>95</v>
      </c>
      <c r="E214" s="12">
        <v>43659</v>
      </c>
      <c r="F214" s="8" t="s">
        <v>132</v>
      </c>
      <c r="G214" s="8">
        <v>8852</v>
      </c>
      <c r="H214" s="8">
        <v>1</v>
      </c>
      <c r="I214" s="8">
        <f>TabelaVendas[[#This Row],[ValorUni]]*TabelaVendas[[#This Row],[Quantidade]]</f>
        <v>8852</v>
      </c>
    </row>
    <row r="215" spans="2:9">
      <c r="B215" s="8">
        <v>213</v>
      </c>
      <c r="C215" s="8" t="s">
        <v>125</v>
      </c>
      <c r="D215" s="8" t="s">
        <v>50</v>
      </c>
      <c r="E215" s="12">
        <v>43661</v>
      </c>
      <c r="F215" s="8" t="s">
        <v>136</v>
      </c>
      <c r="G215" s="8">
        <v>2966</v>
      </c>
      <c r="H215" s="8">
        <v>1</v>
      </c>
      <c r="I215" s="8">
        <f>TabelaVendas[[#This Row],[ValorUni]]*TabelaVendas[[#This Row],[Quantidade]]</f>
        <v>2966</v>
      </c>
    </row>
    <row r="216" spans="2:9">
      <c r="B216" s="8">
        <v>214</v>
      </c>
      <c r="C216" s="8" t="s">
        <v>123</v>
      </c>
      <c r="D216" s="8" t="s">
        <v>100</v>
      </c>
      <c r="E216" s="12">
        <v>43662</v>
      </c>
      <c r="F216" s="8" t="s">
        <v>130</v>
      </c>
      <c r="G216" s="8">
        <v>115</v>
      </c>
      <c r="H216" s="8">
        <v>3</v>
      </c>
      <c r="I216" s="8">
        <f>TabelaVendas[[#This Row],[ValorUni]]*TabelaVendas[[#This Row],[Quantidade]]</f>
        <v>345</v>
      </c>
    </row>
    <row r="217" spans="2:9">
      <c r="B217" s="8">
        <v>215</v>
      </c>
      <c r="C217" s="8" t="s">
        <v>117</v>
      </c>
      <c r="D217" s="8" t="s">
        <v>100</v>
      </c>
      <c r="E217" s="12">
        <v>43662</v>
      </c>
      <c r="F217" s="8" t="s">
        <v>131</v>
      </c>
      <c r="G217" s="8">
        <v>135</v>
      </c>
      <c r="H217" s="8">
        <v>2</v>
      </c>
      <c r="I217" s="8">
        <f>TabelaVendas[[#This Row],[ValorUni]]*TabelaVendas[[#This Row],[Quantidade]]</f>
        <v>270</v>
      </c>
    </row>
    <row r="218" spans="2:9">
      <c r="B218" s="8">
        <v>216</v>
      </c>
      <c r="C218" s="8" t="s">
        <v>119</v>
      </c>
      <c r="D218" s="8" t="s">
        <v>50</v>
      </c>
      <c r="E218" s="12">
        <v>43298</v>
      </c>
      <c r="F218" s="8" t="s">
        <v>128</v>
      </c>
      <c r="G218" s="8">
        <v>155</v>
      </c>
      <c r="H218" s="8">
        <v>1</v>
      </c>
      <c r="I218" s="8">
        <f>TabelaVendas[[#This Row],[ValorUni]]*TabelaVendas[[#This Row],[Quantidade]]</f>
        <v>155</v>
      </c>
    </row>
    <row r="219" spans="2:9">
      <c r="B219" s="8">
        <v>217</v>
      </c>
      <c r="C219" s="8" t="s">
        <v>116</v>
      </c>
      <c r="D219" s="8" t="s">
        <v>39</v>
      </c>
      <c r="E219" s="12">
        <v>44030</v>
      </c>
      <c r="F219" s="8" t="s">
        <v>135</v>
      </c>
      <c r="G219" s="8">
        <v>7658</v>
      </c>
      <c r="H219" s="8">
        <v>2</v>
      </c>
      <c r="I219" s="8">
        <f>TabelaVendas[[#This Row],[ValorUni]]*TabelaVendas[[#This Row],[Quantidade]]</f>
        <v>15316</v>
      </c>
    </row>
    <row r="220" spans="2:9">
      <c r="B220" s="8">
        <v>218</v>
      </c>
      <c r="C220" s="8" t="s">
        <v>119</v>
      </c>
      <c r="D220" s="8" t="s">
        <v>47</v>
      </c>
      <c r="E220" s="12">
        <v>43299</v>
      </c>
      <c r="F220" s="8" t="s">
        <v>130</v>
      </c>
      <c r="G220" s="8">
        <v>115</v>
      </c>
      <c r="H220" s="8">
        <v>2</v>
      </c>
      <c r="I220" s="8">
        <f>TabelaVendas[[#This Row],[ValorUni]]*TabelaVendas[[#This Row],[Quantidade]]</f>
        <v>230</v>
      </c>
    </row>
    <row r="221" spans="2:9">
      <c r="B221" s="8">
        <v>219</v>
      </c>
      <c r="C221" s="8" t="s">
        <v>125</v>
      </c>
      <c r="D221" s="8" t="s">
        <v>30</v>
      </c>
      <c r="E221" s="12">
        <v>43300</v>
      </c>
      <c r="F221" s="8" t="s">
        <v>129</v>
      </c>
      <c r="G221" s="8">
        <v>188</v>
      </c>
      <c r="H221" s="8">
        <v>3</v>
      </c>
      <c r="I221" s="8">
        <f>TabelaVendas[[#This Row],[ValorUni]]*TabelaVendas[[#This Row],[Quantidade]]</f>
        <v>564</v>
      </c>
    </row>
    <row r="222" spans="2:9">
      <c r="B222" s="8">
        <v>220</v>
      </c>
      <c r="C222" s="8" t="s">
        <v>116</v>
      </c>
      <c r="D222" s="8" t="s">
        <v>17</v>
      </c>
      <c r="E222" s="12">
        <v>44032</v>
      </c>
      <c r="F222" s="8" t="s">
        <v>137</v>
      </c>
      <c r="G222" s="8">
        <v>4255</v>
      </c>
      <c r="H222" s="8">
        <v>2</v>
      </c>
      <c r="I222" s="8">
        <f>TabelaVendas[[#This Row],[ValorUni]]*TabelaVendas[[#This Row],[Quantidade]]</f>
        <v>8510</v>
      </c>
    </row>
    <row r="223" spans="2:9">
      <c r="B223" s="8">
        <v>221</v>
      </c>
      <c r="C223" s="8" t="s">
        <v>119</v>
      </c>
      <c r="D223" s="8" t="s">
        <v>47</v>
      </c>
      <c r="E223" s="12">
        <v>43302</v>
      </c>
      <c r="F223" s="8" t="s">
        <v>137</v>
      </c>
      <c r="G223" s="8">
        <v>2955</v>
      </c>
      <c r="H223" s="8">
        <v>2</v>
      </c>
      <c r="I223" s="8">
        <f>TabelaVendas[[#This Row],[ValorUni]]*TabelaVendas[[#This Row],[Quantidade]]</f>
        <v>5910</v>
      </c>
    </row>
    <row r="224" spans="2:9">
      <c r="B224" s="8">
        <v>222</v>
      </c>
      <c r="C224" s="8" t="s">
        <v>118</v>
      </c>
      <c r="D224" s="8" t="s">
        <v>100</v>
      </c>
      <c r="E224" s="12">
        <v>43304</v>
      </c>
      <c r="F224" s="8" t="s">
        <v>137</v>
      </c>
      <c r="G224" s="8">
        <v>9201</v>
      </c>
      <c r="H224" s="8">
        <v>1</v>
      </c>
      <c r="I224" s="8">
        <f>TabelaVendas[[#This Row],[ValorUni]]*TabelaVendas[[#This Row],[Quantidade]]</f>
        <v>9201</v>
      </c>
    </row>
    <row r="225" spans="2:9">
      <c r="B225" s="8">
        <v>223</v>
      </c>
      <c r="C225" s="8" t="s">
        <v>124</v>
      </c>
      <c r="D225" s="8" t="s">
        <v>43</v>
      </c>
      <c r="E225" s="12">
        <v>43306</v>
      </c>
      <c r="F225" s="8" t="s">
        <v>129</v>
      </c>
      <c r="G225" s="8">
        <v>188</v>
      </c>
      <c r="H225" s="8">
        <v>3</v>
      </c>
      <c r="I225" s="8">
        <f>TabelaVendas[[#This Row],[ValorUni]]*TabelaVendas[[#This Row],[Quantidade]]</f>
        <v>564</v>
      </c>
    </row>
    <row r="226" spans="2:9">
      <c r="B226" s="8">
        <v>224</v>
      </c>
      <c r="C226" s="8" t="s">
        <v>125</v>
      </c>
      <c r="D226" s="8" t="s">
        <v>88</v>
      </c>
      <c r="E226" s="12">
        <v>43306</v>
      </c>
      <c r="F226" s="8" t="s">
        <v>131</v>
      </c>
      <c r="G226" s="8">
        <v>135</v>
      </c>
      <c r="H226" s="8">
        <v>3</v>
      </c>
      <c r="I226" s="8">
        <f>TabelaVendas[[#This Row],[ValorUni]]*TabelaVendas[[#This Row],[Quantidade]]</f>
        <v>405</v>
      </c>
    </row>
    <row r="227" spans="2:9">
      <c r="B227" s="8">
        <v>225</v>
      </c>
      <c r="C227" s="8" t="s">
        <v>118</v>
      </c>
      <c r="D227" s="8" t="s">
        <v>47</v>
      </c>
      <c r="E227" s="12">
        <v>43308</v>
      </c>
      <c r="F227" s="8" t="s">
        <v>130</v>
      </c>
      <c r="G227" s="8">
        <v>115</v>
      </c>
      <c r="H227" s="8">
        <v>2</v>
      </c>
      <c r="I227" s="8">
        <f>TabelaVendas[[#This Row],[ValorUni]]*TabelaVendas[[#This Row],[Quantidade]]</f>
        <v>230</v>
      </c>
    </row>
    <row r="228" spans="2:9">
      <c r="B228" s="8">
        <v>226</v>
      </c>
      <c r="C228" s="8" t="s">
        <v>121</v>
      </c>
      <c r="D228" s="8" t="s">
        <v>95</v>
      </c>
      <c r="E228" s="12">
        <v>44040</v>
      </c>
      <c r="F228" s="8" t="s">
        <v>133</v>
      </c>
      <c r="G228" s="8">
        <v>9201</v>
      </c>
      <c r="H228" s="8">
        <v>2</v>
      </c>
      <c r="I228" s="8">
        <f>TabelaVendas[[#This Row],[ValorUni]]*TabelaVendas[[#This Row],[Quantidade]]</f>
        <v>18402</v>
      </c>
    </row>
    <row r="229" spans="2:9">
      <c r="B229" s="8">
        <v>227</v>
      </c>
      <c r="C229" s="8" t="s">
        <v>121</v>
      </c>
      <c r="D229" s="8" t="s">
        <v>106</v>
      </c>
      <c r="E229" s="12">
        <v>43309</v>
      </c>
      <c r="F229" s="8" t="s">
        <v>137</v>
      </c>
      <c r="G229" s="8">
        <v>2955</v>
      </c>
      <c r="H229" s="8">
        <v>2</v>
      </c>
      <c r="I229" s="8">
        <f>TabelaVendas[[#This Row],[ValorUni]]*TabelaVendas[[#This Row],[Quantidade]]</f>
        <v>5910</v>
      </c>
    </row>
    <row r="230" spans="2:9">
      <c r="B230" s="8">
        <v>228</v>
      </c>
      <c r="C230" s="8" t="s">
        <v>121</v>
      </c>
      <c r="D230" s="8" t="s">
        <v>46</v>
      </c>
      <c r="E230" s="12">
        <v>43311</v>
      </c>
      <c r="F230" s="8" t="s">
        <v>136</v>
      </c>
      <c r="G230" s="8">
        <v>2966</v>
      </c>
      <c r="H230" s="8">
        <v>1</v>
      </c>
      <c r="I230" s="8">
        <f>TabelaVendas[[#This Row],[ValorUni]]*TabelaVendas[[#This Row],[Quantidade]]</f>
        <v>2966</v>
      </c>
    </row>
    <row r="231" spans="2:9">
      <c r="B231" s="8">
        <v>229</v>
      </c>
      <c r="C231" s="8" t="s">
        <v>125</v>
      </c>
      <c r="D231" s="8" t="s">
        <v>50</v>
      </c>
      <c r="E231" s="12">
        <v>44045</v>
      </c>
      <c r="F231" s="8" t="s">
        <v>131</v>
      </c>
      <c r="G231" s="8">
        <v>135</v>
      </c>
      <c r="H231" s="8">
        <v>3</v>
      </c>
      <c r="I231" s="8">
        <f>TabelaVendas[[#This Row],[ValorUni]]*TabelaVendas[[#This Row],[Quantidade]]</f>
        <v>405</v>
      </c>
    </row>
    <row r="232" spans="2:9">
      <c r="B232" s="8">
        <v>230</v>
      </c>
      <c r="C232" s="8" t="s">
        <v>116</v>
      </c>
      <c r="D232" s="8" t="s">
        <v>88</v>
      </c>
      <c r="E232" s="12">
        <v>43317</v>
      </c>
      <c r="F232" s="8" t="s">
        <v>131</v>
      </c>
      <c r="G232" s="8">
        <v>135</v>
      </c>
      <c r="H232" s="8">
        <v>1</v>
      </c>
      <c r="I232" s="8">
        <f>TabelaVendas[[#This Row],[ValorUni]]*TabelaVendas[[#This Row],[Quantidade]]</f>
        <v>135</v>
      </c>
    </row>
    <row r="233" spans="2:9">
      <c r="B233" s="8">
        <v>231</v>
      </c>
      <c r="C233" s="8" t="s">
        <v>116</v>
      </c>
      <c r="D233" s="8" t="s">
        <v>88</v>
      </c>
      <c r="E233" s="12">
        <v>43318</v>
      </c>
      <c r="F233" s="8" t="s">
        <v>137</v>
      </c>
      <c r="G233" s="8">
        <v>2955</v>
      </c>
      <c r="H233" s="8">
        <v>1</v>
      </c>
      <c r="I233" s="8">
        <f>TabelaVendas[[#This Row],[ValorUni]]*TabelaVendas[[#This Row],[Quantidade]]</f>
        <v>2955</v>
      </c>
    </row>
    <row r="234" spans="2:9">
      <c r="B234" s="8">
        <v>232</v>
      </c>
      <c r="C234" s="8" t="s">
        <v>116</v>
      </c>
      <c r="D234" s="8" t="s">
        <v>47</v>
      </c>
      <c r="E234" s="12">
        <v>43683</v>
      </c>
      <c r="F234" s="8" t="s">
        <v>136</v>
      </c>
      <c r="G234" s="8">
        <v>2966</v>
      </c>
      <c r="H234" s="8">
        <v>1</v>
      </c>
      <c r="I234" s="8">
        <f>TabelaVendas[[#This Row],[ValorUni]]*TabelaVendas[[#This Row],[Quantidade]]</f>
        <v>2966</v>
      </c>
    </row>
    <row r="235" spans="2:9">
      <c r="B235" s="8">
        <v>233</v>
      </c>
      <c r="C235" s="8" t="s">
        <v>116</v>
      </c>
      <c r="D235" s="8" t="s">
        <v>18</v>
      </c>
      <c r="E235" s="12">
        <v>44052</v>
      </c>
      <c r="F235" s="8" t="s">
        <v>128</v>
      </c>
      <c r="G235" s="8">
        <v>155</v>
      </c>
      <c r="H235" s="8">
        <v>1</v>
      </c>
      <c r="I235" s="8">
        <f>TabelaVendas[[#This Row],[ValorUni]]*TabelaVendas[[#This Row],[Quantidade]]</f>
        <v>155</v>
      </c>
    </row>
    <row r="236" spans="2:9">
      <c r="B236" s="8">
        <v>234</v>
      </c>
      <c r="C236" s="8" t="s">
        <v>117</v>
      </c>
      <c r="D236" s="8" t="s">
        <v>82</v>
      </c>
      <c r="E236" s="12">
        <v>43686</v>
      </c>
      <c r="F236" s="8" t="s">
        <v>134</v>
      </c>
      <c r="G236" s="8">
        <v>4255</v>
      </c>
      <c r="H236" s="8">
        <v>1</v>
      </c>
      <c r="I236" s="8">
        <f>TabelaVendas[[#This Row],[ValorUni]]*TabelaVendas[[#This Row],[Quantidade]]</f>
        <v>4255</v>
      </c>
    </row>
    <row r="237" spans="2:9">
      <c r="B237" s="8">
        <v>235</v>
      </c>
      <c r="C237" s="8" t="s">
        <v>122</v>
      </c>
      <c r="D237" s="8" t="s">
        <v>106</v>
      </c>
      <c r="E237" s="12">
        <v>44052</v>
      </c>
      <c r="F237" s="8" t="s">
        <v>129</v>
      </c>
      <c r="G237" s="8">
        <v>188</v>
      </c>
      <c r="H237" s="8">
        <v>2</v>
      </c>
      <c r="I237" s="8">
        <f>TabelaVendas[[#This Row],[ValorUni]]*TabelaVendas[[#This Row],[Quantidade]]</f>
        <v>376</v>
      </c>
    </row>
    <row r="238" spans="2:9">
      <c r="B238" s="8">
        <v>236</v>
      </c>
      <c r="C238" s="8" t="s">
        <v>118</v>
      </c>
      <c r="D238" s="8" t="s">
        <v>17</v>
      </c>
      <c r="E238" s="12">
        <v>43687</v>
      </c>
      <c r="F238" s="8" t="s">
        <v>135</v>
      </c>
      <c r="G238" s="8">
        <v>7658</v>
      </c>
      <c r="H238" s="8">
        <v>1</v>
      </c>
      <c r="I238" s="8">
        <f>TabelaVendas[[#This Row],[ValorUni]]*TabelaVendas[[#This Row],[Quantidade]]</f>
        <v>7658</v>
      </c>
    </row>
    <row r="239" spans="2:9">
      <c r="B239" s="8">
        <v>237</v>
      </c>
      <c r="C239" s="8" t="s">
        <v>117</v>
      </c>
      <c r="D239" s="8" t="s">
        <v>88</v>
      </c>
      <c r="E239" s="12">
        <v>44053</v>
      </c>
      <c r="F239" s="8" t="s">
        <v>133</v>
      </c>
      <c r="G239" s="8">
        <v>9201</v>
      </c>
      <c r="H239" s="8">
        <v>2</v>
      </c>
      <c r="I239" s="8">
        <f>TabelaVendas[[#This Row],[ValorUni]]*TabelaVendas[[#This Row],[Quantidade]]</f>
        <v>18402</v>
      </c>
    </row>
    <row r="240" spans="2:9">
      <c r="B240" s="8">
        <v>238</v>
      </c>
      <c r="C240" s="8" t="s">
        <v>118</v>
      </c>
      <c r="D240" s="8" t="s">
        <v>88</v>
      </c>
      <c r="E240" s="12">
        <v>43323</v>
      </c>
      <c r="F240" s="8" t="s">
        <v>129</v>
      </c>
      <c r="G240" s="8">
        <v>188</v>
      </c>
      <c r="H240" s="8">
        <v>1</v>
      </c>
      <c r="I240" s="8">
        <f>TabelaVendas[[#This Row],[ValorUni]]*TabelaVendas[[#This Row],[Quantidade]]</f>
        <v>188</v>
      </c>
    </row>
    <row r="241" spans="2:9">
      <c r="B241" s="8">
        <v>239</v>
      </c>
      <c r="C241" s="8" t="s">
        <v>120</v>
      </c>
      <c r="D241" s="8" t="s">
        <v>9</v>
      </c>
      <c r="E241" s="12">
        <v>43323</v>
      </c>
      <c r="F241" s="8" t="s">
        <v>131</v>
      </c>
      <c r="G241" s="8">
        <v>135</v>
      </c>
      <c r="H241" s="8">
        <v>1</v>
      </c>
      <c r="I241" s="8">
        <f>TabelaVendas[[#This Row],[ValorUni]]*TabelaVendas[[#This Row],[Quantidade]]</f>
        <v>135</v>
      </c>
    </row>
    <row r="242" spans="2:9">
      <c r="B242" s="8">
        <v>240</v>
      </c>
      <c r="C242" s="8" t="s">
        <v>121</v>
      </c>
      <c r="D242" s="8" t="s">
        <v>106</v>
      </c>
      <c r="E242" s="12">
        <v>44055</v>
      </c>
      <c r="F242" s="8" t="s">
        <v>133</v>
      </c>
      <c r="G242" s="8">
        <v>9201</v>
      </c>
      <c r="H242" s="8">
        <v>3</v>
      </c>
      <c r="I242" s="8">
        <f>TabelaVendas[[#This Row],[ValorUni]]*TabelaVendas[[#This Row],[Quantidade]]</f>
        <v>27603</v>
      </c>
    </row>
    <row r="243" spans="2:9">
      <c r="B243" s="8">
        <v>241</v>
      </c>
      <c r="C243" s="8" t="s">
        <v>118</v>
      </c>
      <c r="D243" s="8" t="s">
        <v>58</v>
      </c>
      <c r="E243" s="12">
        <v>43689</v>
      </c>
      <c r="F243" s="8" t="s">
        <v>136</v>
      </c>
      <c r="G243" s="8">
        <v>2966</v>
      </c>
      <c r="H243" s="8">
        <v>2</v>
      </c>
      <c r="I243" s="8">
        <f>TabelaVendas[[#This Row],[ValorUni]]*TabelaVendas[[#This Row],[Quantidade]]</f>
        <v>5932</v>
      </c>
    </row>
    <row r="244" spans="2:9">
      <c r="B244" s="8">
        <v>242</v>
      </c>
      <c r="C244" s="8" t="s">
        <v>117</v>
      </c>
      <c r="D244" s="8" t="s">
        <v>43</v>
      </c>
      <c r="E244" s="12">
        <v>43689</v>
      </c>
      <c r="F244" s="8" t="s">
        <v>136</v>
      </c>
      <c r="G244" s="8">
        <v>2966</v>
      </c>
      <c r="H244" s="8">
        <v>1</v>
      </c>
      <c r="I244" s="8">
        <f>TabelaVendas[[#This Row],[ValorUni]]*TabelaVendas[[#This Row],[Quantidade]]</f>
        <v>2966</v>
      </c>
    </row>
    <row r="245" spans="2:9">
      <c r="B245" s="8">
        <v>243</v>
      </c>
      <c r="C245" s="8" t="s">
        <v>120</v>
      </c>
      <c r="D245" s="8" t="s">
        <v>106</v>
      </c>
      <c r="E245" s="12">
        <v>43692</v>
      </c>
      <c r="F245" s="8" t="s">
        <v>136</v>
      </c>
      <c r="G245" s="8">
        <v>2966</v>
      </c>
      <c r="H245" s="8">
        <v>2</v>
      </c>
      <c r="I245" s="8">
        <f>TabelaVendas[[#This Row],[ValorUni]]*TabelaVendas[[#This Row],[Quantidade]]</f>
        <v>5932</v>
      </c>
    </row>
    <row r="246" spans="2:9">
      <c r="B246" s="8">
        <v>244</v>
      </c>
      <c r="C246" s="8" t="s">
        <v>116</v>
      </c>
      <c r="D246" s="8" t="s">
        <v>92</v>
      </c>
      <c r="E246" s="12">
        <v>43692</v>
      </c>
      <c r="F246" s="8" t="s">
        <v>136</v>
      </c>
      <c r="G246" s="8">
        <v>2966</v>
      </c>
      <c r="H246" s="8">
        <v>2</v>
      </c>
      <c r="I246" s="8">
        <f>TabelaVendas[[#This Row],[ValorUni]]*TabelaVendas[[#This Row],[Quantidade]]</f>
        <v>5932</v>
      </c>
    </row>
    <row r="247" spans="2:9">
      <c r="B247" s="8">
        <v>245</v>
      </c>
      <c r="C247" s="8" t="s">
        <v>116</v>
      </c>
      <c r="D247" s="8" t="s">
        <v>50</v>
      </c>
      <c r="E247" s="12">
        <v>43693</v>
      </c>
      <c r="F247" s="8" t="s">
        <v>136</v>
      </c>
      <c r="G247" s="8">
        <v>2966</v>
      </c>
      <c r="H247" s="8">
        <v>2</v>
      </c>
      <c r="I247" s="8">
        <f>TabelaVendas[[#This Row],[ValorUni]]*TabelaVendas[[#This Row],[Quantidade]]</f>
        <v>5932</v>
      </c>
    </row>
    <row r="248" spans="2:9">
      <c r="B248" s="8">
        <v>246</v>
      </c>
      <c r="C248" s="8" t="s">
        <v>122</v>
      </c>
      <c r="D248" s="8" t="s">
        <v>95</v>
      </c>
      <c r="E248" s="12">
        <v>43693</v>
      </c>
      <c r="F248" s="8" t="s">
        <v>136</v>
      </c>
      <c r="G248" s="8">
        <v>2966</v>
      </c>
      <c r="H248" s="8">
        <v>1</v>
      </c>
      <c r="I248" s="8">
        <f>TabelaVendas[[#This Row],[ValorUni]]*TabelaVendas[[#This Row],[Quantidade]]</f>
        <v>2966</v>
      </c>
    </row>
    <row r="249" spans="2:9">
      <c r="B249" s="8">
        <v>247</v>
      </c>
      <c r="C249" s="8" t="s">
        <v>120</v>
      </c>
      <c r="D249" s="8" t="s">
        <v>88</v>
      </c>
      <c r="E249" s="12">
        <v>44059</v>
      </c>
      <c r="F249" s="8" t="s">
        <v>136</v>
      </c>
      <c r="G249" s="8">
        <v>2966</v>
      </c>
      <c r="H249" s="8">
        <v>3</v>
      </c>
      <c r="I249" s="8">
        <f>TabelaVendas[[#This Row],[ValorUni]]*TabelaVendas[[#This Row],[Quantidade]]</f>
        <v>8898</v>
      </c>
    </row>
    <row r="250" spans="2:9">
      <c r="B250" s="8">
        <v>248</v>
      </c>
      <c r="C250" s="8" t="s">
        <v>121</v>
      </c>
      <c r="D250" s="8" t="s">
        <v>18</v>
      </c>
      <c r="E250" s="12">
        <v>43330</v>
      </c>
      <c r="F250" s="8" t="s">
        <v>136</v>
      </c>
      <c r="G250" s="8">
        <v>2966</v>
      </c>
      <c r="H250" s="8">
        <v>2</v>
      </c>
      <c r="I250" s="8">
        <f>TabelaVendas[[#This Row],[ValorUni]]*TabelaVendas[[#This Row],[Quantidade]]</f>
        <v>5932</v>
      </c>
    </row>
    <row r="251" spans="2:9">
      <c r="B251" s="8">
        <v>249</v>
      </c>
      <c r="C251" s="8" t="s">
        <v>121</v>
      </c>
      <c r="D251" s="8" t="s">
        <v>58</v>
      </c>
      <c r="E251" s="12">
        <v>43330</v>
      </c>
      <c r="F251" s="8" t="s">
        <v>131</v>
      </c>
      <c r="G251" s="8">
        <v>135</v>
      </c>
      <c r="H251" s="8">
        <v>3</v>
      </c>
      <c r="I251" s="8">
        <f>TabelaVendas[[#This Row],[ValorUni]]*TabelaVendas[[#This Row],[Quantidade]]</f>
        <v>405</v>
      </c>
    </row>
    <row r="252" spans="2:9">
      <c r="B252" s="8">
        <v>250</v>
      </c>
      <c r="C252" s="8" t="s">
        <v>116</v>
      </c>
      <c r="D252" s="8" t="s">
        <v>43</v>
      </c>
      <c r="E252" s="12">
        <v>43332</v>
      </c>
      <c r="F252" s="8" t="s">
        <v>133</v>
      </c>
      <c r="G252" s="8">
        <v>9201</v>
      </c>
      <c r="H252" s="8">
        <v>1</v>
      </c>
      <c r="I252" s="8">
        <f>TabelaVendas[[#This Row],[ValorUni]]*TabelaVendas[[#This Row],[Quantidade]]</f>
        <v>9201</v>
      </c>
    </row>
    <row r="253" spans="2:9">
      <c r="B253" s="8">
        <v>251</v>
      </c>
      <c r="C253" s="8" t="s">
        <v>121</v>
      </c>
      <c r="D253" s="8" t="s">
        <v>47</v>
      </c>
      <c r="E253" s="12">
        <v>43697</v>
      </c>
      <c r="F253" s="8" t="s">
        <v>135</v>
      </c>
      <c r="G253" s="8">
        <v>7658</v>
      </c>
      <c r="H253" s="8">
        <v>1</v>
      </c>
      <c r="I253" s="8">
        <f>TabelaVendas[[#This Row],[ValorUni]]*TabelaVendas[[#This Row],[Quantidade]]</f>
        <v>7658</v>
      </c>
    </row>
    <row r="254" spans="2:9">
      <c r="B254" s="8">
        <v>252</v>
      </c>
      <c r="C254" s="8" t="s">
        <v>118</v>
      </c>
      <c r="D254" s="8" t="s">
        <v>47</v>
      </c>
      <c r="E254" s="12">
        <v>43698</v>
      </c>
      <c r="F254" s="8" t="s">
        <v>128</v>
      </c>
      <c r="G254" s="8">
        <v>155</v>
      </c>
      <c r="H254" s="8">
        <v>2</v>
      </c>
      <c r="I254" s="8">
        <f>TabelaVendas[[#This Row],[ValorUni]]*TabelaVendas[[#This Row],[Quantidade]]</f>
        <v>310</v>
      </c>
    </row>
    <row r="255" spans="2:9">
      <c r="B255" s="8">
        <v>253</v>
      </c>
      <c r="C255" s="8" t="s">
        <v>125</v>
      </c>
      <c r="D255" s="8" t="s">
        <v>47</v>
      </c>
      <c r="E255" s="12">
        <v>44065</v>
      </c>
      <c r="F255" s="8" t="s">
        <v>136</v>
      </c>
      <c r="G255" s="8">
        <v>2966</v>
      </c>
      <c r="H255" s="8">
        <v>3</v>
      </c>
      <c r="I255" s="8">
        <f>TabelaVendas[[#This Row],[ValorUni]]*TabelaVendas[[#This Row],[Quantidade]]</f>
        <v>8898</v>
      </c>
    </row>
    <row r="256" spans="2:9">
      <c r="B256" s="8">
        <v>254</v>
      </c>
      <c r="C256" s="8" t="s">
        <v>118</v>
      </c>
      <c r="D256" s="8" t="s">
        <v>47</v>
      </c>
      <c r="E256" s="12">
        <v>44065</v>
      </c>
      <c r="F256" s="8" t="s">
        <v>137</v>
      </c>
      <c r="G256" s="8">
        <v>2955</v>
      </c>
      <c r="H256" s="8">
        <v>2</v>
      </c>
      <c r="I256" s="8">
        <f>TabelaVendas[[#This Row],[ValorUni]]*TabelaVendas[[#This Row],[Quantidade]]</f>
        <v>5910</v>
      </c>
    </row>
    <row r="257" spans="2:9">
      <c r="B257" s="8">
        <v>255</v>
      </c>
      <c r="C257" s="8" t="s">
        <v>121</v>
      </c>
      <c r="D257" s="8" t="s">
        <v>47</v>
      </c>
      <c r="E257" s="12">
        <v>43699</v>
      </c>
      <c r="F257" s="8" t="s">
        <v>136</v>
      </c>
      <c r="G257" s="8">
        <v>2966</v>
      </c>
      <c r="H257" s="8">
        <v>3</v>
      </c>
      <c r="I257" s="8">
        <f>TabelaVendas[[#This Row],[ValorUni]]*TabelaVendas[[#This Row],[Quantidade]]</f>
        <v>8898</v>
      </c>
    </row>
    <row r="258" spans="2:9">
      <c r="B258" s="8">
        <v>256</v>
      </c>
      <c r="C258" s="8" t="s">
        <v>121</v>
      </c>
      <c r="D258" s="8" t="s">
        <v>47</v>
      </c>
      <c r="E258" s="12">
        <v>44066</v>
      </c>
      <c r="F258" s="8" t="s">
        <v>132</v>
      </c>
      <c r="G258" s="8">
        <v>8852</v>
      </c>
      <c r="H258" s="8">
        <v>2</v>
      </c>
      <c r="I258" s="8">
        <f>TabelaVendas[[#This Row],[ValorUni]]*TabelaVendas[[#This Row],[Quantidade]]</f>
        <v>17704</v>
      </c>
    </row>
    <row r="259" spans="2:9">
      <c r="B259" s="8">
        <v>257</v>
      </c>
      <c r="C259" s="8" t="s">
        <v>125</v>
      </c>
      <c r="D259" s="8" t="s">
        <v>47</v>
      </c>
      <c r="E259" s="12">
        <v>44068</v>
      </c>
      <c r="F259" s="8" t="s">
        <v>132</v>
      </c>
      <c r="G259" s="8">
        <v>8852</v>
      </c>
      <c r="H259" s="8">
        <v>2</v>
      </c>
      <c r="I259" s="8">
        <f>TabelaVendas[[#This Row],[ValorUni]]*TabelaVendas[[#This Row],[Quantidade]]</f>
        <v>17704</v>
      </c>
    </row>
    <row r="260" spans="2:9">
      <c r="B260" s="8">
        <v>258</v>
      </c>
      <c r="C260" s="8" t="s">
        <v>116</v>
      </c>
      <c r="D260" s="8" t="s">
        <v>47</v>
      </c>
      <c r="E260" s="12">
        <v>43338</v>
      </c>
      <c r="F260" s="8" t="s">
        <v>130</v>
      </c>
      <c r="G260" s="8">
        <v>115</v>
      </c>
      <c r="H260" s="8">
        <v>1</v>
      </c>
      <c r="I260" s="8">
        <f>TabelaVendas[[#This Row],[ValorUni]]*TabelaVendas[[#This Row],[Quantidade]]</f>
        <v>115</v>
      </c>
    </row>
    <row r="261" spans="2:9">
      <c r="B261" s="8">
        <v>259</v>
      </c>
      <c r="C261" s="8" t="s">
        <v>116</v>
      </c>
      <c r="D261" s="8" t="s">
        <v>47</v>
      </c>
      <c r="E261" s="12">
        <v>43703</v>
      </c>
      <c r="F261" s="8" t="s">
        <v>133</v>
      </c>
      <c r="G261" s="8">
        <v>9201</v>
      </c>
      <c r="H261" s="8">
        <v>2</v>
      </c>
      <c r="I261" s="8">
        <f>TabelaVendas[[#This Row],[ValorUni]]*TabelaVendas[[#This Row],[Quantidade]]</f>
        <v>18402</v>
      </c>
    </row>
    <row r="262" spans="2:9">
      <c r="B262" s="8">
        <v>260</v>
      </c>
      <c r="C262" s="8" t="s">
        <v>116</v>
      </c>
      <c r="D262" s="8" t="s">
        <v>41</v>
      </c>
      <c r="E262" s="12">
        <v>44070</v>
      </c>
      <c r="F262" s="8" t="s">
        <v>128</v>
      </c>
      <c r="G262" s="8">
        <v>155</v>
      </c>
      <c r="H262" s="8">
        <v>1</v>
      </c>
      <c r="I262" s="8">
        <f>TabelaVendas[[#This Row],[ValorUni]]*TabelaVendas[[#This Row],[Quantidade]]</f>
        <v>155</v>
      </c>
    </row>
    <row r="263" spans="2:9">
      <c r="B263" s="8">
        <v>261</v>
      </c>
      <c r="C263" s="8" t="s">
        <v>116</v>
      </c>
      <c r="D263" s="8" t="s">
        <v>14</v>
      </c>
      <c r="E263" s="12">
        <v>44074</v>
      </c>
      <c r="F263" s="8" t="s">
        <v>128</v>
      </c>
      <c r="G263" s="8">
        <v>155</v>
      </c>
      <c r="H263" s="8">
        <v>1</v>
      </c>
      <c r="I263" s="8">
        <f>TabelaVendas[[#This Row],[ValorUni]]*TabelaVendas[[#This Row],[Quantidade]]</f>
        <v>155</v>
      </c>
    </row>
    <row r="264" spans="2:9">
      <c r="B264" s="8">
        <v>262</v>
      </c>
      <c r="C264" s="8" t="s">
        <v>118</v>
      </c>
      <c r="D264" s="8" t="s">
        <v>86</v>
      </c>
      <c r="E264" s="12">
        <v>44076</v>
      </c>
      <c r="F264" s="8" t="s">
        <v>134</v>
      </c>
      <c r="G264" s="8">
        <v>4255</v>
      </c>
      <c r="H264" s="8">
        <v>1</v>
      </c>
      <c r="I264" s="8">
        <f>TabelaVendas[[#This Row],[ValorUni]]*TabelaVendas[[#This Row],[Quantidade]]</f>
        <v>4255</v>
      </c>
    </row>
    <row r="265" spans="2:9">
      <c r="B265" s="8">
        <v>263</v>
      </c>
      <c r="C265" s="8" t="s">
        <v>117</v>
      </c>
      <c r="D265" s="8" t="s">
        <v>85</v>
      </c>
      <c r="E265" s="12">
        <v>43712</v>
      </c>
      <c r="F265" s="8" t="s">
        <v>130</v>
      </c>
      <c r="G265" s="8">
        <v>115</v>
      </c>
      <c r="H265" s="8">
        <v>3</v>
      </c>
      <c r="I265" s="8">
        <f>TabelaVendas[[#This Row],[ValorUni]]*TabelaVendas[[#This Row],[Quantidade]]</f>
        <v>345</v>
      </c>
    </row>
    <row r="266" spans="2:9">
      <c r="B266" s="8">
        <v>264</v>
      </c>
      <c r="C266" s="8" t="s">
        <v>116</v>
      </c>
      <c r="D266" s="8" t="s">
        <v>90</v>
      </c>
      <c r="E266" s="12">
        <v>43713</v>
      </c>
      <c r="F266" s="8" t="s">
        <v>131</v>
      </c>
      <c r="G266" s="8">
        <v>135</v>
      </c>
      <c r="H266" s="8">
        <v>2</v>
      </c>
      <c r="I266" s="8">
        <f>TabelaVendas[[#This Row],[ValorUni]]*TabelaVendas[[#This Row],[Quantidade]]</f>
        <v>270</v>
      </c>
    </row>
    <row r="267" spans="2:9">
      <c r="B267" s="8">
        <v>265</v>
      </c>
      <c r="C267" s="8" t="s">
        <v>123</v>
      </c>
      <c r="D267" s="8" t="s">
        <v>29</v>
      </c>
      <c r="E267" s="12">
        <v>43713</v>
      </c>
      <c r="F267" s="8" t="s">
        <v>133</v>
      </c>
      <c r="G267" s="8">
        <v>9201</v>
      </c>
      <c r="H267" s="8">
        <v>1</v>
      </c>
      <c r="I267" s="8">
        <f>TabelaVendas[[#This Row],[ValorUni]]*TabelaVendas[[#This Row],[Quantidade]]</f>
        <v>9201</v>
      </c>
    </row>
    <row r="268" spans="2:9">
      <c r="B268" s="8">
        <v>266</v>
      </c>
      <c r="C268" s="8" t="s">
        <v>124</v>
      </c>
      <c r="D268" s="8" t="s">
        <v>110</v>
      </c>
      <c r="E268" s="12">
        <v>43714</v>
      </c>
      <c r="F268" s="8" t="s">
        <v>132</v>
      </c>
      <c r="G268" s="8">
        <v>8852</v>
      </c>
      <c r="H268" s="8">
        <v>1</v>
      </c>
      <c r="I268" s="8">
        <f>TabelaVendas[[#This Row],[ValorUni]]*TabelaVendas[[#This Row],[Quantidade]]</f>
        <v>8852</v>
      </c>
    </row>
    <row r="269" spans="2:9">
      <c r="B269" s="8">
        <v>267</v>
      </c>
      <c r="C269" s="8" t="s">
        <v>118</v>
      </c>
      <c r="D269" s="8" t="s">
        <v>54</v>
      </c>
      <c r="E269" s="12">
        <v>44081</v>
      </c>
      <c r="F269" s="8" t="s">
        <v>133</v>
      </c>
      <c r="G269" s="8">
        <v>9201</v>
      </c>
      <c r="H269" s="8">
        <v>1</v>
      </c>
      <c r="I269" s="8">
        <f>TabelaVendas[[#This Row],[ValorUni]]*TabelaVendas[[#This Row],[Quantidade]]</f>
        <v>9201</v>
      </c>
    </row>
    <row r="270" spans="2:9">
      <c r="B270" s="8">
        <v>268</v>
      </c>
      <c r="C270" s="8" t="s">
        <v>116</v>
      </c>
      <c r="D270" s="8" t="s">
        <v>31</v>
      </c>
      <c r="E270" s="12">
        <v>43351</v>
      </c>
      <c r="F270" s="8" t="s">
        <v>131</v>
      </c>
      <c r="G270" s="8">
        <v>135</v>
      </c>
      <c r="H270" s="8">
        <v>1</v>
      </c>
      <c r="I270" s="8">
        <f>TabelaVendas[[#This Row],[ValorUni]]*TabelaVendas[[#This Row],[Quantidade]]</f>
        <v>135</v>
      </c>
    </row>
    <row r="271" spans="2:9">
      <c r="B271" s="8">
        <v>269</v>
      </c>
      <c r="C271" s="8" t="s">
        <v>123</v>
      </c>
      <c r="D271" s="8" t="s">
        <v>64</v>
      </c>
      <c r="E271" s="12">
        <v>43717</v>
      </c>
      <c r="F271" s="8" t="s">
        <v>137</v>
      </c>
      <c r="G271" s="8">
        <v>2955</v>
      </c>
      <c r="H271" s="8">
        <v>3</v>
      </c>
      <c r="I271" s="8">
        <f>TabelaVendas[[#This Row],[ValorUni]]*TabelaVendas[[#This Row],[Quantidade]]</f>
        <v>8865</v>
      </c>
    </row>
    <row r="272" spans="2:9">
      <c r="B272" s="8">
        <v>270</v>
      </c>
      <c r="C272" s="8" t="s">
        <v>123</v>
      </c>
      <c r="D272" s="8" t="s">
        <v>77</v>
      </c>
      <c r="E272" s="12">
        <v>43718</v>
      </c>
      <c r="F272" s="8" t="s">
        <v>136</v>
      </c>
      <c r="G272" s="8">
        <v>2966</v>
      </c>
      <c r="H272" s="8">
        <v>2</v>
      </c>
      <c r="I272" s="8">
        <f>TabelaVendas[[#This Row],[ValorUni]]*TabelaVendas[[#This Row],[Quantidade]]</f>
        <v>5932</v>
      </c>
    </row>
    <row r="273" spans="2:9">
      <c r="B273" s="8">
        <v>271</v>
      </c>
      <c r="C273" s="8" t="s">
        <v>123</v>
      </c>
      <c r="D273" s="8" t="s">
        <v>63</v>
      </c>
      <c r="E273" s="12">
        <v>43354</v>
      </c>
      <c r="F273" s="8" t="s">
        <v>137</v>
      </c>
      <c r="G273" s="8">
        <v>2955</v>
      </c>
      <c r="H273" s="8">
        <v>2</v>
      </c>
      <c r="I273" s="8">
        <f>TabelaVendas[[#This Row],[ValorUni]]*TabelaVendas[[#This Row],[Quantidade]]</f>
        <v>5910</v>
      </c>
    </row>
    <row r="274" spans="2:9">
      <c r="B274" s="8">
        <v>272</v>
      </c>
      <c r="C274" s="8" t="s">
        <v>117</v>
      </c>
      <c r="D274" s="8" t="s">
        <v>99</v>
      </c>
      <c r="E274" s="12">
        <v>44086</v>
      </c>
      <c r="F274" s="8" t="s">
        <v>130</v>
      </c>
      <c r="G274" s="8">
        <v>115</v>
      </c>
      <c r="H274" s="8">
        <v>3</v>
      </c>
      <c r="I274" s="8">
        <f>TabelaVendas[[#This Row],[ValorUni]]*TabelaVendas[[#This Row],[Quantidade]]</f>
        <v>345</v>
      </c>
    </row>
    <row r="275" spans="2:9">
      <c r="B275" s="8">
        <v>273</v>
      </c>
      <c r="C275" s="8" t="s">
        <v>125</v>
      </c>
      <c r="D275" s="8" t="s">
        <v>35</v>
      </c>
      <c r="E275" s="12">
        <v>43356</v>
      </c>
      <c r="F275" s="8" t="s">
        <v>137</v>
      </c>
      <c r="G275" s="8">
        <v>2955</v>
      </c>
      <c r="H275" s="8">
        <v>1</v>
      </c>
      <c r="I275" s="8">
        <f>TabelaVendas[[#This Row],[ValorUni]]*TabelaVendas[[#This Row],[Quantidade]]</f>
        <v>2955</v>
      </c>
    </row>
    <row r="276" spans="2:9">
      <c r="B276" s="8">
        <v>274</v>
      </c>
      <c r="C276" s="8" t="s">
        <v>125</v>
      </c>
      <c r="D276" s="8" t="s">
        <v>73</v>
      </c>
      <c r="E276" s="12">
        <v>43723</v>
      </c>
      <c r="F276" s="8" t="s">
        <v>131</v>
      </c>
      <c r="G276" s="8">
        <v>135</v>
      </c>
      <c r="H276" s="8">
        <v>3</v>
      </c>
      <c r="I276" s="8">
        <f>TabelaVendas[[#This Row],[ValorUni]]*TabelaVendas[[#This Row],[Quantidade]]</f>
        <v>405</v>
      </c>
    </row>
    <row r="277" spans="2:9">
      <c r="B277" s="8">
        <v>275</v>
      </c>
      <c r="C277" s="8" t="s">
        <v>120</v>
      </c>
      <c r="D277" s="8" t="s">
        <v>25</v>
      </c>
      <c r="E277" s="12">
        <v>44090</v>
      </c>
      <c r="F277" s="8" t="s">
        <v>128</v>
      </c>
      <c r="G277" s="8">
        <v>155</v>
      </c>
      <c r="H277" s="8">
        <v>2</v>
      </c>
      <c r="I277" s="8">
        <f>TabelaVendas[[#This Row],[ValorUni]]*TabelaVendas[[#This Row],[Quantidade]]</f>
        <v>310</v>
      </c>
    </row>
    <row r="278" spans="2:9">
      <c r="B278" s="8">
        <v>276</v>
      </c>
      <c r="C278" s="8" t="s">
        <v>121</v>
      </c>
      <c r="D278" s="8" t="s">
        <v>21</v>
      </c>
      <c r="E278" s="12">
        <v>43360</v>
      </c>
      <c r="F278" s="8" t="s">
        <v>134</v>
      </c>
      <c r="G278" s="8">
        <v>4255</v>
      </c>
      <c r="H278" s="8">
        <v>3</v>
      </c>
      <c r="I278" s="8">
        <f>TabelaVendas[[#This Row],[ValorUni]]*TabelaVendas[[#This Row],[Quantidade]]</f>
        <v>12765</v>
      </c>
    </row>
    <row r="279" spans="2:9">
      <c r="B279" s="8">
        <v>277</v>
      </c>
      <c r="C279" s="8" t="s">
        <v>122</v>
      </c>
      <c r="D279" s="8" t="s">
        <v>25</v>
      </c>
      <c r="E279" s="12">
        <v>43361</v>
      </c>
      <c r="F279" s="8" t="s">
        <v>134</v>
      </c>
      <c r="G279" s="8">
        <v>4255</v>
      </c>
      <c r="H279" s="8">
        <v>2</v>
      </c>
      <c r="I279" s="8">
        <f>TabelaVendas[[#This Row],[ValorUni]]*TabelaVendas[[#This Row],[Quantidade]]</f>
        <v>8510</v>
      </c>
    </row>
    <row r="280" spans="2:9">
      <c r="B280" s="8">
        <v>278</v>
      </c>
      <c r="C280" s="8" t="s">
        <v>125</v>
      </c>
      <c r="D280" s="8" t="s">
        <v>62</v>
      </c>
      <c r="E280" s="12">
        <v>44092</v>
      </c>
      <c r="F280" s="8" t="s">
        <v>137</v>
      </c>
      <c r="G280" s="8">
        <v>4255</v>
      </c>
      <c r="H280" s="8">
        <v>2</v>
      </c>
      <c r="I280" s="8">
        <f>TabelaVendas[[#This Row],[ValorUni]]*TabelaVendas[[#This Row],[Quantidade]]</f>
        <v>8510</v>
      </c>
    </row>
    <row r="281" spans="2:9">
      <c r="B281" s="8">
        <v>279</v>
      </c>
      <c r="C281" s="8" t="s">
        <v>124</v>
      </c>
      <c r="D281" s="8" t="s">
        <v>109</v>
      </c>
      <c r="E281" s="12">
        <v>43727</v>
      </c>
      <c r="F281" s="8" t="s">
        <v>137</v>
      </c>
      <c r="G281" s="8">
        <v>135</v>
      </c>
      <c r="H281" s="8">
        <v>3</v>
      </c>
      <c r="I281" s="8">
        <f>TabelaVendas[[#This Row],[ValorUni]]*TabelaVendas[[#This Row],[Quantidade]]</f>
        <v>405</v>
      </c>
    </row>
    <row r="282" spans="2:9">
      <c r="B282" s="8">
        <v>280</v>
      </c>
      <c r="C282" s="8" t="s">
        <v>124</v>
      </c>
      <c r="D282" s="8" t="s">
        <v>105</v>
      </c>
      <c r="E282" s="12">
        <v>44096</v>
      </c>
      <c r="F282" s="8" t="s">
        <v>137</v>
      </c>
      <c r="G282" s="8">
        <v>2955</v>
      </c>
      <c r="H282" s="8">
        <v>2</v>
      </c>
      <c r="I282" s="8">
        <f>TabelaVendas[[#This Row],[ValorUni]]*TabelaVendas[[#This Row],[Quantidade]]</f>
        <v>5910</v>
      </c>
    </row>
    <row r="283" spans="2:9">
      <c r="B283" s="8">
        <v>281</v>
      </c>
      <c r="C283" s="8" t="s">
        <v>120</v>
      </c>
      <c r="D283" s="8" t="s">
        <v>95</v>
      </c>
      <c r="E283" s="12">
        <v>44098</v>
      </c>
      <c r="F283" s="8" t="s">
        <v>137</v>
      </c>
      <c r="G283" s="8">
        <v>2955</v>
      </c>
      <c r="H283" s="8">
        <v>2</v>
      </c>
      <c r="I283" s="8">
        <f>TabelaVendas[[#This Row],[ValorUni]]*TabelaVendas[[#This Row],[Quantidade]]</f>
        <v>5910</v>
      </c>
    </row>
    <row r="284" spans="2:9">
      <c r="B284" s="8">
        <v>282</v>
      </c>
      <c r="C284" s="8" t="s">
        <v>121</v>
      </c>
      <c r="D284" s="8" t="s">
        <v>22</v>
      </c>
      <c r="E284" s="12">
        <v>44099</v>
      </c>
      <c r="F284" s="8" t="s">
        <v>133</v>
      </c>
      <c r="G284" s="8">
        <v>9201</v>
      </c>
      <c r="H284" s="8">
        <v>2</v>
      </c>
      <c r="I284" s="8">
        <f>TabelaVendas[[#This Row],[ValorUni]]*TabelaVendas[[#This Row],[Quantidade]]</f>
        <v>18402</v>
      </c>
    </row>
    <row r="285" spans="2:9">
      <c r="B285" s="8">
        <v>283</v>
      </c>
      <c r="C285" s="8" t="s">
        <v>121</v>
      </c>
      <c r="D285" s="8" t="s">
        <v>112</v>
      </c>
      <c r="E285" s="12">
        <v>44099</v>
      </c>
      <c r="F285" s="8" t="s">
        <v>128</v>
      </c>
      <c r="G285" s="8">
        <v>155</v>
      </c>
      <c r="H285" s="8">
        <v>2</v>
      </c>
      <c r="I285" s="8">
        <f>TabelaVendas[[#This Row],[ValorUni]]*TabelaVendas[[#This Row],[Quantidade]]</f>
        <v>310</v>
      </c>
    </row>
    <row r="286" spans="2:9">
      <c r="B286" s="8">
        <v>284</v>
      </c>
      <c r="C286" s="8" t="s">
        <v>116</v>
      </c>
      <c r="D286" s="8" t="s">
        <v>68</v>
      </c>
      <c r="E286" s="12">
        <v>43368</v>
      </c>
      <c r="F286" s="8" t="s">
        <v>129</v>
      </c>
      <c r="G286" s="8">
        <v>188</v>
      </c>
      <c r="H286" s="8">
        <v>2</v>
      </c>
      <c r="I286" s="8">
        <f>TabelaVendas[[#This Row],[ValorUni]]*TabelaVendas[[#This Row],[Quantidade]]</f>
        <v>376</v>
      </c>
    </row>
    <row r="287" spans="2:9">
      <c r="B287" s="8">
        <v>285</v>
      </c>
      <c r="C287" s="8" t="s">
        <v>116</v>
      </c>
      <c r="D287" s="8" t="s">
        <v>27</v>
      </c>
      <c r="E287" s="12">
        <v>43734</v>
      </c>
      <c r="F287" s="8" t="s">
        <v>130</v>
      </c>
      <c r="G287" s="8">
        <v>115</v>
      </c>
      <c r="H287" s="8">
        <v>2</v>
      </c>
      <c r="I287" s="8">
        <f>TabelaVendas[[#This Row],[ValorUni]]*TabelaVendas[[#This Row],[Quantidade]]</f>
        <v>230</v>
      </c>
    </row>
    <row r="288" spans="2:9">
      <c r="B288" s="8">
        <v>286</v>
      </c>
      <c r="C288" s="8" t="s">
        <v>116</v>
      </c>
      <c r="D288" s="8" t="s">
        <v>72</v>
      </c>
      <c r="E288" s="12">
        <v>43369</v>
      </c>
      <c r="F288" s="8" t="s">
        <v>133</v>
      </c>
      <c r="G288" s="8">
        <v>9201</v>
      </c>
      <c r="H288" s="8">
        <v>3</v>
      </c>
      <c r="I288" s="8">
        <f>TabelaVendas[[#This Row],[ValorUni]]*TabelaVendas[[#This Row],[Quantidade]]</f>
        <v>27603</v>
      </c>
    </row>
    <row r="289" spans="2:9">
      <c r="B289" s="8">
        <v>287</v>
      </c>
      <c r="C289" s="8" t="s">
        <v>116</v>
      </c>
      <c r="D289" s="8" t="s">
        <v>24</v>
      </c>
      <c r="E289" s="12">
        <v>43734</v>
      </c>
      <c r="F289" s="8" t="s">
        <v>131</v>
      </c>
      <c r="G289" s="8">
        <v>135</v>
      </c>
      <c r="H289" s="8">
        <v>2</v>
      </c>
      <c r="I289" s="8">
        <f>TabelaVendas[[#This Row],[ValorUni]]*TabelaVendas[[#This Row],[Quantidade]]</f>
        <v>270</v>
      </c>
    </row>
    <row r="290" spans="2:9">
      <c r="B290" s="8">
        <v>288</v>
      </c>
      <c r="C290" s="8" t="s">
        <v>122</v>
      </c>
      <c r="D290" s="8" t="s">
        <v>40</v>
      </c>
      <c r="E290" s="12">
        <v>44101</v>
      </c>
      <c r="F290" s="8" t="s">
        <v>131</v>
      </c>
      <c r="G290" s="8">
        <v>135</v>
      </c>
      <c r="H290" s="8">
        <v>1</v>
      </c>
      <c r="I290" s="8">
        <f>TabelaVendas[[#This Row],[ValorUni]]*TabelaVendas[[#This Row],[Quantidade]]</f>
        <v>135</v>
      </c>
    </row>
    <row r="291" spans="2:9">
      <c r="B291" s="8">
        <v>289</v>
      </c>
      <c r="C291" s="8" t="s">
        <v>125</v>
      </c>
      <c r="D291" s="8" t="s">
        <v>16</v>
      </c>
      <c r="E291" s="12">
        <v>44102</v>
      </c>
      <c r="F291" s="8" t="s">
        <v>130</v>
      </c>
      <c r="G291" s="8">
        <v>115</v>
      </c>
      <c r="H291" s="8">
        <v>2</v>
      </c>
      <c r="I291" s="8">
        <f>TabelaVendas[[#This Row],[ValorUni]]*TabelaVendas[[#This Row],[Quantidade]]</f>
        <v>230</v>
      </c>
    </row>
    <row r="292" spans="2:9">
      <c r="B292" s="8">
        <v>290</v>
      </c>
      <c r="C292" s="8" t="s">
        <v>116</v>
      </c>
      <c r="D292" s="8" t="s">
        <v>47</v>
      </c>
      <c r="E292" s="12">
        <v>43371</v>
      </c>
      <c r="F292" s="8" t="s">
        <v>129</v>
      </c>
      <c r="G292" s="8">
        <v>188</v>
      </c>
      <c r="H292" s="8">
        <v>3</v>
      </c>
      <c r="I292" s="8">
        <f>TabelaVendas[[#This Row],[ValorUni]]*TabelaVendas[[#This Row],[Quantidade]]</f>
        <v>564</v>
      </c>
    </row>
    <row r="293" spans="2:9">
      <c r="B293" s="8">
        <v>291</v>
      </c>
      <c r="C293" s="8" t="s">
        <v>118</v>
      </c>
      <c r="D293" s="8" t="s">
        <v>53</v>
      </c>
      <c r="E293" s="12">
        <v>43372</v>
      </c>
      <c r="F293" s="8" t="s">
        <v>137</v>
      </c>
      <c r="G293" s="8">
        <v>2955</v>
      </c>
      <c r="H293" s="8">
        <v>3</v>
      </c>
      <c r="I293" s="8">
        <f>TabelaVendas[[#This Row],[ValorUni]]*TabelaVendas[[#This Row],[Quantidade]]</f>
        <v>8865</v>
      </c>
    </row>
    <row r="294" spans="2:9">
      <c r="B294" s="8">
        <v>292</v>
      </c>
      <c r="C294" s="8" t="s">
        <v>122</v>
      </c>
      <c r="D294" s="8" t="s">
        <v>6</v>
      </c>
      <c r="E294" s="12">
        <v>44103</v>
      </c>
      <c r="F294" s="8" t="s">
        <v>136</v>
      </c>
      <c r="G294" s="8">
        <v>2966</v>
      </c>
      <c r="H294" s="8">
        <v>3</v>
      </c>
      <c r="I294" s="8">
        <f>TabelaVendas[[#This Row],[ValorUni]]*TabelaVendas[[#This Row],[Quantidade]]</f>
        <v>8898</v>
      </c>
    </row>
    <row r="295" spans="2:9">
      <c r="B295" s="8">
        <v>293</v>
      </c>
      <c r="C295" s="8" t="s">
        <v>124</v>
      </c>
      <c r="D295" s="8" t="s">
        <v>93</v>
      </c>
      <c r="E295" s="12">
        <v>44105</v>
      </c>
      <c r="F295" s="8" t="s">
        <v>136</v>
      </c>
      <c r="G295" s="8">
        <v>2966</v>
      </c>
      <c r="H295" s="8">
        <v>2</v>
      </c>
      <c r="I295" s="8">
        <f>TabelaVendas[[#This Row],[ValorUni]]*TabelaVendas[[#This Row],[Quantidade]]</f>
        <v>5932</v>
      </c>
    </row>
    <row r="296" spans="2:9">
      <c r="B296" s="8">
        <v>294</v>
      </c>
      <c r="C296" s="8" t="s">
        <v>117</v>
      </c>
      <c r="D296" s="8" t="s">
        <v>56</v>
      </c>
      <c r="E296" s="12">
        <v>43740</v>
      </c>
      <c r="F296" s="8" t="s">
        <v>136</v>
      </c>
      <c r="G296" s="8">
        <v>2966</v>
      </c>
      <c r="H296" s="8">
        <v>2</v>
      </c>
      <c r="I296" s="8">
        <f>TabelaVendas[[#This Row],[ValorUni]]*TabelaVendas[[#This Row],[Quantidade]]</f>
        <v>5932</v>
      </c>
    </row>
    <row r="297" spans="2:9">
      <c r="B297" s="8">
        <v>295</v>
      </c>
      <c r="C297" s="8" t="s">
        <v>118</v>
      </c>
      <c r="D297" s="8" t="s">
        <v>44</v>
      </c>
      <c r="E297" s="12">
        <v>44106</v>
      </c>
      <c r="F297" s="8" t="s">
        <v>136</v>
      </c>
      <c r="G297" s="8">
        <v>2966</v>
      </c>
      <c r="H297" s="8">
        <v>2</v>
      </c>
      <c r="I297" s="8">
        <f>TabelaVendas[[#This Row],[ValorUni]]*TabelaVendas[[#This Row],[Quantidade]]</f>
        <v>5932</v>
      </c>
    </row>
    <row r="298" spans="2:9">
      <c r="B298" s="8">
        <v>296</v>
      </c>
      <c r="C298" s="8" t="s">
        <v>120</v>
      </c>
      <c r="D298" s="8" t="s">
        <v>108</v>
      </c>
      <c r="E298" s="12">
        <v>43744</v>
      </c>
      <c r="F298" s="8" t="s">
        <v>136</v>
      </c>
      <c r="G298" s="8">
        <v>2966</v>
      </c>
      <c r="H298" s="8">
        <v>1</v>
      </c>
      <c r="I298" s="8">
        <f>TabelaVendas[[#This Row],[ValorUni]]*TabelaVendas[[#This Row],[Quantidade]]</f>
        <v>2966</v>
      </c>
    </row>
    <row r="299" spans="2:9">
      <c r="B299" s="8">
        <v>297</v>
      </c>
      <c r="C299" s="8" t="s">
        <v>121</v>
      </c>
      <c r="D299" s="8" t="s">
        <v>28</v>
      </c>
      <c r="E299" s="12">
        <v>44111</v>
      </c>
      <c r="F299" s="8" t="s">
        <v>136</v>
      </c>
      <c r="G299" s="8">
        <v>2966</v>
      </c>
      <c r="H299" s="8">
        <v>1</v>
      </c>
      <c r="I299" s="8">
        <f>TabelaVendas[[#This Row],[ValorUni]]*TabelaVendas[[#This Row],[Quantidade]]</f>
        <v>2966</v>
      </c>
    </row>
    <row r="300" spans="2:9">
      <c r="B300" s="8">
        <v>298</v>
      </c>
      <c r="C300" s="8" t="s">
        <v>120</v>
      </c>
      <c r="D300" s="8" t="s">
        <v>69</v>
      </c>
      <c r="E300" s="12">
        <v>43747</v>
      </c>
      <c r="F300" s="8" t="s">
        <v>136</v>
      </c>
      <c r="G300" s="8">
        <v>2966</v>
      </c>
      <c r="H300" s="8">
        <v>2</v>
      </c>
      <c r="I300" s="8">
        <f>TabelaVendas[[#This Row],[ValorUni]]*TabelaVendas[[#This Row],[Quantidade]]</f>
        <v>5932</v>
      </c>
    </row>
    <row r="301" spans="2:9">
      <c r="B301" s="8">
        <v>299</v>
      </c>
      <c r="C301" s="8" t="s">
        <v>124</v>
      </c>
      <c r="D301" s="8" t="s">
        <v>76</v>
      </c>
      <c r="E301" s="12">
        <v>44114</v>
      </c>
      <c r="F301" s="8" t="s">
        <v>136</v>
      </c>
      <c r="G301" s="8">
        <v>2966</v>
      </c>
      <c r="H301" s="8">
        <v>2</v>
      </c>
      <c r="I301" s="8">
        <f>TabelaVendas[[#This Row],[ValorUni]]*TabelaVendas[[#This Row],[Quantidade]]</f>
        <v>5932</v>
      </c>
    </row>
    <row r="302" spans="2:9">
      <c r="B302" s="8">
        <v>300</v>
      </c>
      <c r="C302" s="8" t="s">
        <v>120</v>
      </c>
      <c r="D302" s="8" t="s">
        <v>70</v>
      </c>
      <c r="E302" s="12">
        <v>44116</v>
      </c>
      <c r="F302" s="8" t="s">
        <v>133</v>
      </c>
      <c r="G302" s="8">
        <v>9201</v>
      </c>
      <c r="H302" s="8">
        <v>2</v>
      </c>
      <c r="I302" s="8">
        <f>TabelaVendas[[#This Row],[ValorUni]]*TabelaVendas[[#This Row],[Quantidade]]</f>
        <v>18402</v>
      </c>
    </row>
    <row r="303" spans="2:9">
      <c r="B303" s="8">
        <v>301</v>
      </c>
      <c r="C303" s="8" t="s">
        <v>116</v>
      </c>
      <c r="D303" s="8" t="s">
        <v>44</v>
      </c>
      <c r="E303" s="12">
        <v>43386</v>
      </c>
      <c r="F303" s="8" t="s">
        <v>135</v>
      </c>
      <c r="G303" s="8">
        <v>7658</v>
      </c>
      <c r="H303" s="8">
        <v>3</v>
      </c>
      <c r="I303" s="8">
        <f>TabelaVendas[[#This Row],[ValorUni]]*TabelaVendas[[#This Row],[Quantidade]]</f>
        <v>22974</v>
      </c>
    </row>
    <row r="304" spans="2:9">
      <c r="B304" s="8">
        <v>302</v>
      </c>
      <c r="C304" s="8" t="s">
        <v>118</v>
      </c>
      <c r="D304" s="8" t="s">
        <v>95</v>
      </c>
      <c r="E304" s="12">
        <v>43386</v>
      </c>
      <c r="F304" s="8" t="s">
        <v>133</v>
      </c>
      <c r="G304" s="8">
        <v>9201</v>
      </c>
      <c r="H304" s="8">
        <v>2</v>
      </c>
      <c r="I304" s="8">
        <f>TabelaVendas[[#This Row],[ValorUni]]*TabelaVendas[[#This Row],[Quantidade]]</f>
        <v>18402</v>
      </c>
    </row>
    <row r="305" spans="2:9">
      <c r="B305" s="8">
        <v>303</v>
      </c>
      <c r="C305" s="8" t="s">
        <v>116</v>
      </c>
      <c r="D305" s="8" t="s">
        <v>107</v>
      </c>
      <c r="E305" s="12">
        <v>44119</v>
      </c>
      <c r="F305" s="8" t="s">
        <v>131</v>
      </c>
      <c r="G305" s="8">
        <v>135</v>
      </c>
      <c r="H305" s="8">
        <v>1</v>
      </c>
      <c r="I305" s="8">
        <f>TabelaVendas[[#This Row],[ValorUni]]*TabelaVendas[[#This Row],[Quantidade]]</f>
        <v>135</v>
      </c>
    </row>
    <row r="306" spans="2:9">
      <c r="B306" s="8">
        <v>304</v>
      </c>
      <c r="C306" s="8" t="s">
        <v>119</v>
      </c>
      <c r="D306" s="8" t="s">
        <v>48</v>
      </c>
      <c r="E306" s="12">
        <v>43753</v>
      </c>
      <c r="F306" s="8" t="s">
        <v>129</v>
      </c>
      <c r="G306" s="8">
        <v>188</v>
      </c>
      <c r="H306" s="8">
        <v>2</v>
      </c>
      <c r="I306" s="8">
        <f>TabelaVendas[[#This Row],[ValorUni]]*TabelaVendas[[#This Row],[Quantidade]]</f>
        <v>376</v>
      </c>
    </row>
    <row r="307" spans="2:9">
      <c r="B307" s="8">
        <v>305</v>
      </c>
      <c r="C307" s="8" t="s">
        <v>118</v>
      </c>
      <c r="D307" s="8" t="s">
        <v>19</v>
      </c>
      <c r="E307" s="12">
        <v>43754</v>
      </c>
      <c r="F307" s="8" t="s">
        <v>136</v>
      </c>
      <c r="G307" s="8">
        <v>2966</v>
      </c>
      <c r="H307" s="8">
        <v>2</v>
      </c>
      <c r="I307" s="8">
        <f>TabelaVendas[[#This Row],[ValorUni]]*TabelaVendas[[#This Row],[Quantidade]]</f>
        <v>5932</v>
      </c>
    </row>
    <row r="308" spans="2:9">
      <c r="B308" s="8">
        <v>306</v>
      </c>
      <c r="C308" s="8" t="s">
        <v>120</v>
      </c>
      <c r="D308" s="8" t="s">
        <v>21</v>
      </c>
      <c r="E308" s="12">
        <v>43389</v>
      </c>
      <c r="F308" s="8" t="s">
        <v>136</v>
      </c>
      <c r="G308" s="8">
        <v>2966</v>
      </c>
      <c r="H308" s="8">
        <v>3</v>
      </c>
      <c r="I308" s="8">
        <f>TabelaVendas[[#This Row],[ValorUni]]*TabelaVendas[[#This Row],[Quantidade]]</f>
        <v>8898</v>
      </c>
    </row>
    <row r="309" spans="2:9">
      <c r="B309" s="8">
        <v>307</v>
      </c>
      <c r="C309" s="8" t="s">
        <v>125</v>
      </c>
      <c r="D309" s="8" t="s">
        <v>40</v>
      </c>
      <c r="E309" s="12">
        <v>43389</v>
      </c>
      <c r="F309" s="8" t="s">
        <v>128</v>
      </c>
      <c r="G309" s="8">
        <v>155</v>
      </c>
      <c r="H309" s="8">
        <v>3</v>
      </c>
      <c r="I309" s="8">
        <f>TabelaVendas[[#This Row],[ValorUni]]*TabelaVendas[[#This Row],[Quantidade]]</f>
        <v>465</v>
      </c>
    </row>
    <row r="310" spans="2:9">
      <c r="B310" s="8">
        <v>308</v>
      </c>
      <c r="C310" s="8" t="s">
        <v>121</v>
      </c>
      <c r="D310" s="8" t="s">
        <v>103</v>
      </c>
      <c r="E310" s="12">
        <v>43755</v>
      </c>
      <c r="F310" s="8" t="s">
        <v>135</v>
      </c>
      <c r="G310" s="8">
        <v>7658</v>
      </c>
      <c r="H310" s="8">
        <v>3</v>
      </c>
      <c r="I310" s="8">
        <f>TabelaVendas[[#This Row],[ValorUni]]*TabelaVendas[[#This Row],[Quantidade]]</f>
        <v>22974</v>
      </c>
    </row>
    <row r="311" spans="2:9">
      <c r="B311" s="8">
        <v>309</v>
      </c>
      <c r="C311" s="8" t="s">
        <v>121</v>
      </c>
      <c r="D311" s="8" t="s">
        <v>20</v>
      </c>
      <c r="E311" s="12">
        <v>43756</v>
      </c>
      <c r="F311" s="8" t="s">
        <v>135</v>
      </c>
      <c r="G311" s="8">
        <v>7658</v>
      </c>
      <c r="H311" s="8">
        <v>1</v>
      </c>
      <c r="I311" s="8">
        <f>TabelaVendas[[#This Row],[ValorUni]]*TabelaVendas[[#This Row],[Quantidade]]</f>
        <v>7658</v>
      </c>
    </row>
    <row r="312" spans="2:9">
      <c r="B312" s="8">
        <v>310</v>
      </c>
      <c r="C312" s="8" t="s">
        <v>117</v>
      </c>
      <c r="D312" s="8" t="s">
        <v>45</v>
      </c>
      <c r="E312" s="12">
        <v>43391</v>
      </c>
      <c r="F312" s="8" t="s">
        <v>131</v>
      </c>
      <c r="G312" s="8">
        <v>135</v>
      </c>
      <c r="H312" s="8">
        <v>1</v>
      </c>
      <c r="I312" s="8">
        <f>TabelaVendas[[#This Row],[ValorUni]]*TabelaVendas[[#This Row],[Quantidade]]</f>
        <v>135</v>
      </c>
    </row>
    <row r="313" spans="2:9">
      <c r="B313" s="8">
        <v>311</v>
      </c>
      <c r="C313" s="8" t="s">
        <v>122</v>
      </c>
      <c r="D313" s="8" t="s">
        <v>57</v>
      </c>
      <c r="E313" s="12">
        <v>43758</v>
      </c>
      <c r="F313" s="8" t="s">
        <v>136</v>
      </c>
      <c r="G313" s="8">
        <v>2966</v>
      </c>
      <c r="H313" s="8">
        <v>3</v>
      </c>
      <c r="I313" s="8">
        <f>TabelaVendas[[#This Row],[ValorUni]]*TabelaVendas[[#This Row],[Quantidade]]</f>
        <v>8898</v>
      </c>
    </row>
    <row r="314" spans="2:9">
      <c r="B314" s="8">
        <v>312</v>
      </c>
      <c r="C314" s="8" t="s">
        <v>117</v>
      </c>
      <c r="D314" s="8" t="s">
        <v>11</v>
      </c>
      <c r="E314" s="12">
        <v>43760</v>
      </c>
      <c r="F314" s="8" t="s">
        <v>137</v>
      </c>
      <c r="G314" s="8">
        <v>2955</v>
      </c>
      <c r="H314" s="8">
        <v>1</v>
      </c>
      <c r="I314" s="8">
        <f>TabelaVendas[[#This Row],[ValorUni]]*TabelaVendas[[#This Row],[Quantidade]]</f>
        <v>2955</v>
      </c>
    </row>
    <row r="315" spans="2:9">
      <c r="B315" s="8">
        <v>313</v>
      </c>
      <c r="C315" s="8" t="s">
        <v>116</v>
      </c>
      <c r="D315" s="8" t="s">
        <v>13</v>
      </c>
      <c r="E315" s="12">
        <v>43760</v>
      </c>
      <c r="F315" s="8" t="s">
        <v>129</v>
      </c>
      <c r="G315" s="8">
        <v>188</v>
      </c>
      <c r="H315" s="8">
        <v>1</v>
      </c>
      <c r="I315" s="8">
        <f>TabelaVendas[[#This Row],[ValorUni]]*TabelaVendas[[#This Row],[Quantidade]]</f>
        <v>188</v>
      </c>
    </row>
    <row r="316" spans="2:9">
      <c r="B316" s="8">
        <v>314</v>
      </c>
      <c r="C316" s="8" t="s">
        <v>116</v>
      </c>
      <c r="D316" s="8" t="s">
        <v>98</v>
      </c>
      <c r="E316" s="12">
        <v>43396</v>
      </c>
      <c r="F316" s="8" t="s">
        <v>137</v>
      </c>
      <c r="G316" s="8">
        <v>155</v>
      </c>
      <c r="H316" s="8">
        <v>3</v>
      </c>
      <c r="I316" s="8">
        <f>TabelaVendas[[#This Row],[ValorUni]]*TabelaVendas[[#This Row],[Quantidade]]</f>
        <v>465</v>
      </c>
    </row>
    <row r="317" spans="2:9">
      <c r="B317" s="8">
        <v>315</v>
      </c>
      <c r="C317" s="8" t="s">
        <v>116</v>
      </c>
      <c r="D317" s="8" t="s">
        <v>95</v>
      </c>
      <c r="E317" s="12">
        <v>43763</v>
      </c>
      <c r="F317" s="8" t="s">
        <v>137</v>
      </c>
      <c r="G317" s="8">
        <v>7658</v>
      </c>
      <c r="H317" s="8">
        <v>1</v>
      </c>
      <c r="I317" s="8">
        <f>TabelaVendas[[#This Row],[ValorUni]]*TabelaVendas[[#This Row],[Quantidade]]</f>
        <v>7658</v>
      </c>
    </row>
    <row r="318" spans="2:9">
      <c r="B318" s="8">
        <v>316</v>
      </c>
      <c r="C318" s="8" t="s">
        <v>116</v>
      </c>
      <c r="D318" s="8" t="s">
        <v>95</v>
      </c>
      <c r="E318" s="12">
        <v>43763</v>
      </c>
      <c r="F318" s="8" t="s">
        <v>137</v>
      </c>
      <c r="G318" s="8">
        <v>135</v>
      </c>
      <c r="H318" s="8">
        <v>3</v>
      </c>
      <c r="I318" s="8">
        <f>TabelaVendas[[#This Row],[ValorUni]]*TabelaVendas[[#This Row],[Quantidade]]</f>
        <v>405</v>
      </c>
    </row>
    <row r="319" spans="2:9">
      <c r="B319" s="8">
        <v>317</v>
      </c>
      <c r="C319" s="8" t="s">
        <v>116</v>
      </c>
      <c r="D319" s="8" t="s">
        <v>65</v>
      </c>
      <c r="E319" s="12">
        <v>44130</v>
      </c>
      <c r="F319" s="8" t="s">
        <v>135</v>
      </c>
      <c r="G319" s="8">
        <v>7658</v>
      </c>
      <c r="H319" s="8">
        <v>1</v>
      </c>
      <c r="I319" s="8">
        <f>TabelaVendas[[#This Row],[ValorUni]]*TabelaVendas[[#This Row],[Quantidade]]</f>
        <v>7658</v>
      </c>
    </row>
    <row r="320" spans="2:9">
      <c r="B320" s="8">
        <v>318</v>
      </c>
      <c r="C320" s="8" t="s">
        <v>116</v>
      </c>
      <c r="D320" s="8" t="s">
        <v>23</v>
      </c>
      <c r="E320" s="12">
        <v>43399</v>
      </c>
      <c r="F320" s="8" t="s">
        <v>134</v>
      </c>
      <c r="G320" s="8">
        <v>4255</v>
      </c>
      <c r="H320" s="8">
        <v>2</v>
      </c>
      <c r="I320" s="8">
        <f>TabelaVendas[[#This Row],[ValorUni]]*TabelaVendas[[#This Row],[Quantidade]]</f>
        <v>8510</v>
      </c>
    </row>
    <row r="321" spans="2:9">
      <c r="B321" s="8">
        <v>319</v>
      </c>
      <c r="C321" s="8" t="s">
        <v>124</v>
      </c>
      <c r="D321" s="8" t="s">
        <v>83</v>
      </c>
      <c r="E321" s="12">
        <v>44130</v>
      </c>
      <c r="F321" s="8" t="s">
        <v>136</v>
      </c>
      <c r="G321" s="8">
        <v>2966</v>
      </c>
      <c r="H321" s="8">
        <v>1</v>
      </c>
      <c r="I321" s="8">
        <f>TabelaVendas[[#This Row],[ValorUni]]*TabelaVendas[[#This Row],[Quantidade]]</f>
        <v>2966</v>
      </c>
    </row>
    <row r="322" spans="2:9">
      <c r="B322" s="8">
        <v>320</v>
      </c>
      <c r="C322" s="8" t="s">
        <v>117</v>
      </c>
      <c r="D322" s="8" t="s">
        <v>96</v>
      </c>
      <c r="E322" s="12">
        <v>44131</v>
      </c>
      <c r="F322" s="8" t="s">
        <v>135</v>
      </c>
      <c r="G322" s="8">
        <v>7658</v>
      </c>
      <c r="H322" s="8">
        <v>1</v>
      </c>
      <c r="I322" s="8">
        <f>TabelaVendas[[#This Row],[ValorUni]]*TabelaVendas[[#This Row],[Quantidade]]</f>
        <v>7658</v>
      </c>
    </row>
    <row r="323" spans="2:9">
      <c r="B323" s="8">
        <v>321</v>
      </c>
      <c r="C323" s="8" t="s">
        <v>121</v>
      </c>
      <c r="D323" s="8" t="s">
        <v>47</v>
      </c>
      <c r="E323" s="12">
        <v>43765</v>
      </c>
      <c r="F323" s="8" t="s">
        <v>135</v>
      </c>
      <c r="G323" s="8">
        <v>7658</v>
      </c>
      <c r="H323" s="8">
        <v>1</v>
      </c>
      <c r="I323" s="8">
        <f>TabelaVendas[[#This Row],[ValorUni]]*TabelaVendas[[#This Row],[Quantidade]]</f>
        <v>7658</v>
      </c>
    </row>
    <row r="324" spans="2:9">
      <c r="B324" s="8">
        <v>322</v>
      </c>
      <c r="C324" s="8" t="s">
        <v>124</v>
      </c>
      <c r="D324" s="8" t="s">
        <v>47</v>
      </c>
      <c r="E324" s="12">
        <v>43401</v>
      </c>
      <c r="F324" s="8" t="s">
        <v>132</v>
      </c>
      <c r="G324" s="8">
        <v>8852</v>
      </c>
      <c r="H324" s="8">
        <v>1</v>
      </c>
      <c r="I324" s="8">
        <f>TabelaVendas[[#This Row],[ValorUni]]*TabelaVendas[[#This Row],[Quantidade]]</f>
        <v>8852</v>
      </c>
    </row>
    <row r="325" spans="2:9">
      <c r="B325" s="8">
        <v>323</v>
      </c>
      <c r="C325" s="8" t="s">
        <v>124</v>
      </c>
      <c r="D325" s="8" t="s">
        <v>47</v>
      </c>
      <c r="E325" s="12">
        <v>43766</v>
      </c>
      <c r="F325" s="8" t="s">
        <v>128</v>
      </c>
      <c r="G325" s="8">
        <v>155</v>
      </c>
      <c r="H325" s="8">
        <v>3</v>
      </c>
      <c r="I325" s="8">
        <f>TabelaVendas[[#This Row],[ValorUni]]*TabelaVendas[[#This Row],[Quantidade]]</f>
        <v>465</v>
      </c>
    </row>
    <row r="326" spans="2:9">
      <c r="B326" s="8">
        <v>324</v>
      </c>
      <c r="C326" s="8" t="s">
        <v>123</v>
      </c>
      <c r="D326" s="8" t="s">
        <v>47</v>
      </c>
      <c r="E326" s="12">
        <v>44135</v>
      </c>
      <c r="F326" s="8" t="s">
        <v>131</v>
      </c>
      <c r="G326" s="8">
        <v>135</v>
      </c>
      <c r="H326" s="8">
        <v>3</v>
      </c>
      <c r="I326" s="8">
        <f>TabelaVendas[[#This Row],[ValorUni]]*TabelaVendas[[#This Row],[Quantidade]]</f>
        <v>405</v>
      </c>
    </row>
    <row r="327" spans="2:9">
      <c r="B327" s="8">
        <v>325</v>
      </c>
      <c r="C327" s="8" t="s">
        <v>125</v>
      </c>
      <c r="D327" s="8" t="s">
        <v>47</v>
      </c>
      <c r="E327" s="12">
        <v>43404</v>
      </c>
      <c r="F327" s="8" t="s">
        <v>129</v>
      </c>
      <c r="G327" s="8">
        <v>188</v>
      </c>
      <c r="H327" s="8">
        <v>3</v>
      </c>
      <c r="I327" s="8">
        <f>TabelaVendas[[#This Row],[ValorUni]]*TabelaVendas[[#This Row],[Quantidade]]</f>
        <v>564</v>
      </c>
    </row>
    <row r="328" spans="2:9">
      <c r="B328" s="8">
        <v>326</v>
      </c>
      <c r="C328" s="8" t="s">
        <v>119</v>
      </c>
      <c r="D328" s="8" t="s">
        <v>47</v>
      </c>
      <c r="E328" s="12">
        <v>43770</v>
      </c>
      <c r="F328" s="8" t="s">
        <v>136</v>
      </c>
      <c r="G328" s="8">
        <v>2966</v>
      </c>
      <c r="H328" s="8">
        <v>2</v>
      </c>
      <c r="I328" s="8">
        <f>TabelaVendas[[#This Row],[ValorUni]]*TabelaVendas[[#This Row],[Quantidade]]</f>
        <v>5932</v>
      </c>
    </row>
    <row r="329" spans="2:9">
      <c r="B329" s="8">
        <v>327</v>
      </c>
      <c r="C329" s="8" t="s">
        <v>124</v>
      </c>
      <c r="D329" s="8" t="s">
        <v>47</v>
      </c>
      <c r="E329" s="12">
        <v>43405</v>
      </c>
      <c r="F329" s="8" t="s">
        <v>136</v>
      </c>
      <c r="G329" s="8">
        <v>2966</v>
      </c>
      <c r="H329" s="8">
        <v>2</v>
      </c>
      <c r="I329" s="8">
        <f>TabelaVendas[[#This Row],[ValorUni]]*TabelaVendas[[#This Row],[Quantidade]]</f>
        <v>5932</v>
      </c>
    </row>
    <row r="330" spans="2:9">
      <c r="B330" s="8">
        <v>328</v>
      </c>
      <c r="C330" s="8" t="s">
        <v>118</v>
      </c>
      <c r="D330" s="8" t="s">
        <v>37</v>
      </c>
      <c r="E330" s="12">
        <v>44136</v>
      </c>
      <c r="F330" s="8" t="s">
        <v>136</v>
      </c>
      <c r="G330" s="8">
        <v>2966</v>
      </c>
      <c r="H330" s="8">
        <v>1</v>
      </c>
      <c r="I330" s="8">
        <f>TabelaVendas[[#This Row],[ValorUni]]*TabelaVendas[[#This Row],[Quantidade]]</f>
        <v>2966</v>
      </c>
    </row>
    <row r="331" spans="2:9">
      <c r="B331" s="8">
        <v>329</v>
      </c>
      <c r="C331" s="8" t="s">
        <v>117</v>
      </c>
      <c r="D331" s="8" t="s">
        <v>75</v>
      </c>
      <c r="E331" s="12">
        <v>43771</v>
      </c>
      <c r="F331" s="8" t="s">
        <v>136</v>
      </c>
      <c r="G331" s="8">
        <v>2966</v>
      </c>
      <c r="H331" s="8">
        <v>2</v>
      </c>
      <c r="I331" s="8">
        <f>TabelaVendas[[#This Row],[ValorUni]]*TabelaVendas[[#This Row],[Quantidade]]</f>
        <v>5932</v>
      </c>
    </row>
    <row r="332" spans="2:9">
      <c r="B332" s="8">
        <v>330</v>
      </c>
      <c r="C332" s="8" t="s">
        <v>116</v>
      </c>
      <c r="D332" s="8" t="s">
        <v>78</v>
      </c>
      <c r="E332" s="12">
        <v>43771</v>
      </c>
      <c r="F332" s="8" t="s">
        <v>136</v>
      </c>
      <c r="G332" s="8">
        <v>2966</v>
      </c>
      <c r="H332" s="8">
        <v>2</v>
      </c>
      <c r="I332" s="8">
        <f>TabelaVendas[[#This Row],[ValorUni]]*TabelaVendas[[#This Row],[Quantidade]]</f>
        <v>5932</v>
      </c>
    </row>
    <row r="333" spans="2:9">
      <c r="B333" s="8">
        <v>331</v>
      </c>
      <c r="C333" s="8" t="s">
        <v>116</v>
      </c>
      <c r="D333" s="8" t="s">
        <v>12</v>
      </c>
      <c r="E333" s="12">
        <v>43406</v>
      </c>
      <c r="F333" s="8" t="s">
        <v>136</v>
      </c>
      <c r="G333" s="8">
        <v>2966</v>
      </c>
      <c r="H333" s="8">
        <v>1</v>
      </c>
      <c r="I333" s="8">
        <f>TabelaVendas[[#This Row],[ValorUni]]*TabelaVendas[[#This Row],[Quantidade]]</f>
        <v>2966</v>
      </c>
    </row>
    <row r="334" spans="2:9">
      <c r="B334" s="8">
        <v>332</v>
      </c>
      <c r="C334" s="8" t="s">
        <v>122</v>
      </c>
      <c r="D334" s="8" t="s">
        <v>62</v>
      </c>
      <c r="E334" s="12">
        <v>43407</v>
      </c>
      <c r="F334" s="8" t="s">
        <v>136</v>
      </c>
      <c r="G334" s="8">
        <v>2966</v>
      </c>
      <c r="H334" s="8">
        <v>3</v>
      </c>
      <c r="I334" s="8">
        <f>TabelaVendas[[#This Row],[ValorUni]]*TabelaVendas[[#This Row],[Quantidade]]</f>
        <v>8898</v>
      </c>
    </row>
    <row r="335" spans="2:9">
      <c r="B335" s="8">
        <v>333</v>
      </c>
      <c r="C335" s="8" t="s">
        <v>118</v>
      </c>
      <c r="D335" s="8" t="s">
        <v>49</v>
      </c>
      <c r="E335" s="12">
        <v>43408</v>
      </c>
      <c r="F335" s="8" t="s">
        <v>136</v>
      </c>
      <c r="G335" s="8">
        <v>2966</v>
      </c>
      <c r="H335" s="8">
        <v>2</v>
      </c>
      <c r="I335" s="8">
        <f>TabelaVendas[[#This Row],[ValorUni]]*TabelaVendas[[#This Row],[Quantidade]]</f>
        <v>5932</v>
      </c>
    </row>
    <row r="336" spans="2:9">
      <c r="B336" s="8">
        <v>334</v>
      </c>
      <c r="C336" s="8" t="s">
        <v>120</v>
      </c>
      <c r="D336" s="8" t="s">
        <v>69</v>
      </c>
      <c r="E336" s="12">
        <v>43774</v>
      </c>
      <c r="F336" s="8" t="s">
        <v>135</v>
      </c>
      <c r="G336" s="8">
        <v>7658</v>
      </c>
      <c r="H336" s="8">
        <v>3</v>
      </c>
      <c r="I336" s="8">
        <f>TabelaVendas[[#This Row],[ValorUni]]*TabelaVendas[[#This Row],[Quantidade]]</f>
        <v>22974</v>
      </c>
    </row>
    <row r="337" spans="2:9">
      <c r="B337" s="8">
        <v>335</v>
      </c>
      <c r="C337" s="8" t="s">
        <v>120</v>
      </c>
      <c r="D337" s="8" t="s">
        <v>59</v>
      </c>
      <c r="E337" s="12">
        <v>43411</v>
      </c>
      <c r="F337" s="8" t="s">
        <v>136</v>
      </c>
      <c r="G337" s="8">
        <v>2966</v>
      </c>
      <c r="H337" s="8">
        <v>2</v>
      </c>
      <c r="I337" s="8">
        <f>TabelaVendas[[#This Row],[ValorUni]]*TabelaVendas[[#This Row],[Quantidade]]</f>
        <v>5932</v>
      </c>
    </row>
    <row r="338" spans="2:9">
      <c r="B338" s="8">
        <v>336</v>
      </c>
      <c r="C338" s="8" t="s">
        <v>120</v>
      </c>
      <c r="D338" s="8" t="s">
        <v>5</v>
      </c>
      <c r="E338" s="12">
        <v>44142</v>
      </c>
      <c r="F338" s="8" t="s">
        <v>129</v>
      </c>
      <c r="G338" s="8">
        <v>188</v>
      </c>
      <c r="H338" s="8">
        <v>3</v>
      </c>
      <c r="I338" s="8">
        <f>TabelaVendas[[#This Row],[ValorUni]]*TabelaVendas[[#This Row],[Quantidade]]</f>
        <v>564</v>
      </c>
    </row>
    <row r="339" spans="2:9">
      <c r="B339" s="8">
        <v>337</v>
      </c>
      <c r="C339" s="8" t="s">
        <v>121</v>
      </c>
      <c r="D339" s="8" t="s">
        <v>105</v>
      </c>
      <c r="E339" s="12">
        <v>43413</v>
      </c>
      <c r="F339" s="8" t="s">
        <v>131</v>
      </c>
      <c r="G339" s="8">
        <v>135</v>
      </c>
      <c r="H339" s="8">
        <v>3</v>
      </c>
      <c r="I339" s="8">
        <f>TabelaVendas[[#This Row],[ValorUni]]*TabelaVendas[[#This Row],[Quantidade]]</f>
        <v>405</v>
      </c>
    </row>
    <row r="340" spans="2:9">
      <c r="B340" s="8">
        <v>338</v>
      </c>
      <c r="C340" s="8" t="s">
        <v>121</v>
      </c>
      <c r="D340" s="8" t="s">
        <v>16</v>
      </c>
      <c r="E340" s="12">
        <v>43413</v>
      </c>
      <c r="F340" s="8" t="s">
        <v>133</v>
      </c>
      <c r="G340" s="8">
        <v>9201</v>
      </c>
      <c r="H340" s="8">
        <v>1</v>
      </c>
      <c r="I340" s="8">
        <f>TabelaVendas[[#This Row],[ValorUni]]*TabelaVendas[[#This Row],[Quantidade]]</f>
        <v>9201</v>
      </c>
    </row>
    <row r="341" spans="2:9">
      <c r="B341" s="8">
        <v>339</v>
      </c>
      <c r="C341" s="8" t="s">
        <v>118</v>
      </c>
      <c r="D341" s="8" t="s">
        <v>51</v>
      </c>
      <c r="E341" s="12">
        <v>43414</v>
      </c>
      <c r="F341" s="8" t="s">
        <v>135</v>
      </c>
      <c r="G341" s="8">
        <v>7658</v>
      </c>
      <c r="H341" s="8">
        <v>2</v>
      </c>
      <c r="I341" s="8">
        <f>TabelaVendas[[#This Row],[ValorUni]]*TabelaVendas[[#This Row],[Quantidade]]</f>
        <v>15316</v>
      </c>
    </row>
    <row r="342" spans="2:9">
      <c r="B342" s="8">
        <v>340</v>
      </c>
      <c r="C342" s="8" t="s">
        <v>120</v>
      </c>
      <c r="D342" s="8" t="s">
        <v>71</v>
      </c>
      <c r="E342" s="12">
        <v>43780</v>
      </c>
      <c r="F342" s="8" t="s">
        <v>137</v>
      </c>
      <c r="G342" s="8">
        <v>2955</v>
      </c>
      <c r="H342" s="8">
        <v>3</v>
      </c>
      <c r="I342" s="8">
        <f>TabelaVendas[[#This Row],[ValorUni]]*TabelaVendas[[#This Row],[Quantidade]]</f>
        <v>8865</v>
      </c>
    </row>
    <row r="343" spans="2:9">
      <c r="B343" s="8">
        <v>341</v>
      </c>
      <c r="C343" s="8" t="s">
        <v>117</v>
      </c>
      <c r="D343" s="8" t="s">
        <v>42</v>
      </c>
      <c r="E343" s="12">
        <v>43781</v>
      </c>
      <c r="F343" s="8" t="s">
        <v>128</v>
      </c>
      <c r="G343" s="8">
        <v>155</v>
      </c>
      <c r="H343" s="8">
        <v>2</v>
      </c>
      <c r="I343" s="8">
        <f>TabelaVendas[[#This Row],[ValorUni]]*TabelaVendas[[#This Row],[Quantidade]]</f>
        <v>310</v>
      </c>
    </row>
    <row r="344" spans="2:9">
      <c r="B344" s="8">
        <v>342</v>
      </c>
      <c r="C344" s="8" t="s">
        <v>121</v>
      </c>
      <c r="D344" s="8" t="s">
        <v>111</v>
      </c>
      <c r="E344" s="12">
        <v>43781</v>
      </c>
      <c r="F344" s="8" t="s">
        <v>132</v>
      </c>
      <c r="G344" s="8">
        <v>8852</v>
      </c>
      <c r="H344" s="8">
        <v>3</v>
      </c>
      <c r="I344" s="8">
        <f>TabelaVendas[[#This Row],[ValorUni]]*TabelaVendas[[#This Row],[Quantidade]]</f>
        <v>26556</v>
      </c>
    </row>
    <row r="345" spans="2:9">
      <c r="B345" s="8">
        <v>343</v>
      </c>
      <c r="C345" s="8" t="s">
        <v>124</v>
      </c>
      <c r="D345" s="8" t="s">
        <v>47</v>
      </c>
      <c r="E345" s="12">
        <v>43782</v>
      </c>
      <c r="F345" s="8" t="s">
        <v>128</v>
      </c>
      <c r="G345" s="8">
        <v>155</v>
      </c>
      <c r="H345" s="8">
        <v>2</v>
      </c>
      <c r="I345" s="8">
        <f>TabelaVendas[[#This Row],[ValorUni]]*TabelaVendas[[#This Row],[Quantidade]]</f>
        <v>310</v>
      </c>
    </row>
    <row r="346" spans="2:9">
      <c r="B346" s="8">
        <v>344</v>
      </c>
      <c r="C346" s="8" t="s">
        <v>116</v>
      </c>
      <c r="D346" s="8" t="s">
        <v>47</v>
      </c>
      <c r="E346" s="12">
        <v>43784</v>
      </c>
      <c r="F346" s="8" t="s">
        <v>128</v>
      </c>
      <c r="G346" s="8">
        <v>155</v>
      </c>
      <c r="H346" s="8">
        <v>2</v>
      </c>
      <c r="I346" s="8">
        <f>TabelaVendas[[#This Row],[ValorUni]]*TabelaVendas[[#This Row],[Quantidade]]</f>
        <v>310</v>
      </c>
    </row>
    <row r="347" spans="2:9">
      <c r="B347" s="8">
        <v>345</v>
      </c>
      <c r="C347" s="8" t="s">
        <v>116</v>
      </c>
      <c r="D347" s="8" t="s">
        <v>47</v>
      </c>
      <c r="E347" s="12">
        <v>43420</v>
      </c>
      <c r="F347" s="8" t="s">
        <v>129</v>
      </c>
      <c r="G347" s="8">
        <v>188</v>
      </c>
      <c r="H347" s="8">
        <v>2</v>
      </c>
      <c r="I347" s="8">
        <f>TabelaVendas[[#This Row],[ValorUni]]*TabelaVendas[[#This Row],[Quantidade]]</f>
        <v>376</v>
      </c>
    </row>
    <row r="348" spans="2:9">
      <c r="B348" s="8">
        <v>346</v>
      </c>
      <c r="C348" s="8" t="s">
        <v>116</v>
      </c>
      <c r="D348" s="8" t="s">
        <v>47</v>
      </c>
      <c r="E348" s="12">
        <v>43420</v>
      </c>
      <c r="F348" s="8" t="s">
        <v>130</v>
      </c>
      <c r="G348" s="8">
        <v>115</v>
      </c>
      <c r="H348" s="8">
        <v>2</v>
      </c>
      <c r="I348" s="8">
        <f>TabelaVendas[[#This Row],[ValorUni]]*TabelaVendas[[#This Row],[Quantidade]]</f>
        <v>230</v>
      </c>
    </row>
    <row r="349" spans="2:9">
      <c r="B349" s="8">
        <v>347</v>
      </c>
      <c r="C349" s="8" t="s">
        <v>116</v>
      </c>
      <c r="D349" s="8" t="s">
        <v>47</v>
      </c>
      <c r="E349" s="12">
        <v>43421</v>
      </c>
      <c r="F349" s="8" t="s">
        <v>137</v>
      </c>
      <c r="G349" s="8">
        <v>9201</v>
      </c>
      <c r="H349" s="8">
        <v>2</v>
      </c>
      <c r="I349" s="8">
        <f>TabelaVendas[[#This Row],[ValorUni]]*TabelaVendas[[#This Row],[Quantidade]]</f>
        <v>18402</v>
      </c>
    </row>
    <row r="350" spans="2:9">
      <c r="B350" s="8">
        <v>348</v>
      </c>
      <c r="C350" s="8" t="s">
        <v>116</v>
      </c>
      <c r="D350" s="8" t="s">
        <v>47</v>
      </c>
      <c r="E350" s="12">
        <v>44152</v>
      </c>
      <c r="F350" s="8" t="s">
        <v>137</v>
      </c>
      <c r="G350" s="8">
        <v>8852</v>
      </c>
      <c r="H350" s="8">
        <v>1</v>
      </c>
      <c r="I350" s="8">
        <f>TabelaVendas[[#This Row],[ValorUni]]*TabelaVendas[[#This Row],[Quantidade]]</f>
        <v>8852</v>
      </c>
    </row>
    <row r="351" spans="2:9">
      <c r="B351" s="8">
        <v>349</v>
      </c>
      <c r="C351" s="8" t="s">
        <v>125</v>
      </c>
      <c r="D351" s="8" t="s">
        <v>47</v>
      </c>
      <c r="E351" s="12">
        <v>43788</v>
      </c>
      <c r="F351" s="8" t="s">
        <v>137</v>
      </c>
      <c r="G351" s="8">
        <v>9201</v>
      </c>
      <c r="H351" s="8">
        <v>2</v>
      </c>
      <c r="I351" s="8">
        <f>TabelaVendas[[#This Row],[ValorUni]]*TabelaVendas[[#This Row],[Quantidade]]</f>
        <v>18402</v>
      </c>
    </row>
    <row r="352" spans="2:9">
      <c r="B352" s="8">
        <v>350</v>
      </c>
      <c r="C352" s="8" t="s">
        <v>120</v>
      </c>
      <c r="D352" s="8" t="s">
        <v>38</v>
      </c>
      <c r="E352" s="12">
        <v>43423</v>
      </c>
      <c r="F352" s="8" t="s">
        <v>137</v>
      </c>
      <c r="G352" s="8">
        <v>4255</v>
      </c>
      <c r="H352" s="8">
        <v>2</v>
      </c>
      <c r="I352" s="8">
        <f>TabelaVendas[[#This Row],[ValorUni]]*TabelaVendas[[#This Row],[Quantidade]]</f>
        <v>8510</v>
      </c>
    </row>
    <row r="353" spans="2:9">
      <c r="B353" s="8">
        <v>351</v>
      </c>
      <c r="C353" s="8" t="s">
        <v>117</v>
      </c>
      <c r="D353" s="8" t="s">
        <v>10</v>
      </c>
      <c r="E353" s="12">
        <v>44156</v>
      </c>
      <c r="F353" s="8" t="s">
        <v>128</v>
      </c>
      <c r="G353" s="8">
        <v>155</v>
      </c>
      <c r="H353" s="8">
        <v>2</v>
      </c>
      <c r="I353" s="8">
        <f>TabelaVendas[[#This Row],[ValorUni]]*TabelaVendas[[#This Row],[Quantidade]]</f>
        <v>310</v>
      </c>
    </row>
    <row r="354" spans="2:9">
      <c r="B354" s="8">
        <v>352</v>
      </c>
      <c r="C354" s="8" t="s">
        <v>124</v>
      </c>
      <c r="D354" s="8" t="s">
        <v>101</v>
      </c>
      <c r="E354" s="12">
        <v>44157</v>
      </c>
      <c r="F354" s="8" t="s">
        <v>136</v>
      </c>
      <c r="G354" s="8">
        <v>2966</v>
      </c>
      <c r="H354" s="8">
        <v>3</v>
      </c>
      <c r="I354" s="8">
        <f>TabelaVendas[[#This Row],[ValorUni]]*TabelaVendas[[#This Row],[Quantidade]]</f>
        <v>8898</v>
      </c>
    </row>
    <row r="355" spans="2:9">
      <c r="B355" s="8">
        <v>353</v>
      </c>
      <c r="C355" s="8" t="s">
        <v>119</v>
      </c>
      <c r="D355" s="8" t="s">
        <v>60</v>
      </c>
      <c r="E355" s="12">
        <v>43426</v>
      </c>
      <c r="F355" s="8" t="s">
        <v>130</v>
      </c>
      <c r="G355" s="8">
        <v>115</v>
      </c>
      <c r="H355" s="8">
        <v>3</v>
      </c>
      <c r="I355" s="8">
        <f>TabelaVendas[[#This Row],[ValorUni]]*TabelaVendas[[#This Row],[Quantidade]]</f>
        <v>345</v>
      </c>
    </row>
    <row r="356" spans="2:9">
      <c r="B356" s="8">
        <v>354</v>
      </c>
      <c r="C356" s="8" t="s">
        <v>119</v>
      </c>
      <c r="D356" s="8" t="s">
        <v>94</v>
      </c>
      <c r="E356" s="12">
        <v>43426</v>
      </c>
      <c r="F356" s="8" t="s">
        <v>137</v>
      </c>
      <c r="G356" s="8">
        <v>2955</v>
      </c>
      <c r="H356" s="8">
        <v>1</v>
      </c>
      <c r="I356" s="8">
        <f>TabelaVendas[[#This Row],[ValorUni]]*TabelaVendas[[#This Row],[Quantidade]]</f>
        <v>2955</v>
      </c>
    </row>
    <row r="357" spans="2:9">
      <c r="B357" s="8">
        <v>355</v>
      </c>
      <c r="C357" s="8" t="s">
        <v>120</v>
      </c>
      <c r="D357" s="8" t="s">
        <v>6</v>
      </c>
      <c r="E357" s="12">
        <v>43792</v>
      </c>
      <c r="F357" s="8" t="s">
        <v>130</v>
      </c>
      <c r="G357" s="8">
        <v>115</v>
      </c>
      <c r="H357" s="8">
        <v>3</v>
      </c>
      <c r="I357" s="8">
        <f>TabelaVendas[[#This Row],[ValorUni]]*TabelaVendas[[#This Row],[Quantidade]]</f>
        <v>345</v>
      </c>
    </row>
    <row r="358" spans="2:9">
      <c r="B358" s="8">
        <v>356</v>
      </c>
      <c r="C358" s="8" t="s">
        <v>122</v>
      </c>
      <c r="D358" s="8" t="s">
        <v>95</v>
      </c>
      <c r="E358" s="12">
        <v>43427</v>
      </c>
      <c r="F358" s="8" t="s">
        <v>132</v>
      </c>
      <c r="G358" s="8">
        <v>8852</v>
      </c>
      <c r="H358" s="8">
        <v>1</v>
      </c>
      <c r="I358" s="8">
        <f>TabelaVendas[[#This Row],[ValorUni]]*TabelaVendas[[#This Row],[Quantidade]]</f>
        <v>8852</v>
      </c>
    </row>
    <row r="359" spans="2:9">
      <c r="B359" s="8">
        <v>357</v>
      </c>
      <c r="C359" s="8" t="s">
        <v>121</v>
      </c>
      <c r="D359" s="8" t="s">
        <v>95</v>
      </c>
      <c r="E359" s="12">
        <v>44159</v>
      </c>
      <c r="F359" s="8" t="s">
        <v>129</v>
      </c>
      <c r="G359" s="8">
        <v>188</v>
      </c>
      <c r="H359" s="8">
        <v>1</v>
      </c>
      <c r="I359" s="8">
        <f>TabelaVendas[[#This Row],[ValorUni]]*TabelaVendas[[#This Row],[Quantidade]]</f>
        <v>188</v>
      </c>
    </row>
    <row r="360" spans="2:9">
      <c r="B360" s="8">
        <v>358</v>
      </c>
      <c r="C360" s="8" t="s">
        <v>117</v>
      </c>
      <c r="D360" s="8" t="s">
        <v>51</v>
      </c>
      <c r="E360" s="12">
        <v>43428</v>
      </c>
      <c r="F360" s="8" t="s">
        <v>129</v>
      </c>
      <c r="G360" s="8">
        <v>188</v>
      </c>
      <c r="H360" s="8">
        <v>1</v>
      </c>
      <c r="I360" s="8">
        <f>TabelaVendas[[#This Row],[ValorUni]]*TabelaVendas[[#This Row],[Quantidade]]</f>
        <v>188</v>
      </c>
    </row>
    <row r="361" spans="2:9">
      <c r="B361" s="8">
        <v>359</v>
      </c>
      <c r="C361" s="8" t="s">
        <v>119</v>
      </c>
      <c r="D361" s="8" t="s">
        <v>113</v>
      </c>
      <c r="E361" s="12">
        <v>44160</v>
      </c>
      <c r="F361" s="8" t="s">
        <v>130</v>
      </c>
      <c r="G361" s="8">
        <v>115</v>
      </c>
      <c r="H361" s="8">
        <v>3</v>
      </c>
      <c r="I361" s="8">
        <f>TabelaVendas[[#This Row],[ValorUni]]*TabelaVendas[[#This Row],[Quantidade]]</f>
        <v>345</v>
      </c>
    </row>
    <row r="362" spans="2:9">
      <c r="B362" s="8">
        <v>360</v>
      </c>
      <c r="C362" s="8" t="s">
        <v>116</v>
      </c>
      <c r="D362" s="8" t="s">
        <v>28</v>
      </c>
      <c r="E362" s="12">
        <v>43794</v>
      </c>
      <c r="F362" s="8" t="s">
        <v>128</v>
      </c>
      <c r="G362" s="8">
        <v>155</v>
      </c>
      <c r="H362" s="8">
        <v>3</v>
      </c>
      <c r="I362" s="8">
        <f>TabelaVendas[[#This Row],[ValorUni]]*TabelaVendas[[#This Row],[Quantidade]]</f>
        <v>465</v>
      </c>
    </row>
    <row r="363" spans="2:9">
      <c r="B363" s="8">
        <v>361</v>
      </c>
      <c r="C363" s="8" t="s">
        <v>123</v>
      </c>
      <c r="D363" s="8" t="s">
        <v>80</v>
      </c>
      <c r="E363" s="12">
        <v>43429</v>
      </c>
      <c r="F363" s="8" t="s">
        <v>136</v>
      </c>
      <c r="G363" s="8">
        <v>2966</v>
      </c>
      <c r="H363" s="8">
        <v>1</v>
      </c>
      <c r="I363" s="8">
        <f>TabelaVendas[[#This Row],[ValorUni]]*TabelaVendas[[#This Row],[Quantidade]]</f>
        <v>2966</v>
      </c>
    </row>
    <row r="364" spans="2:9">
      <c r="B364" s="8">
        <v>362</v>
      </c>
      <c r="C364" s="8" t="s">
        <v>121</v>
      </c>
      <c r="D364" s="8" t="s">
        <v>104</v>
      </c>
      <c r="E364" s="12">
        <v>44160</v>
      </c>
      <c r="F364" s="8" t="s">
        <v>136</v>
      </c>
      <c r="G364" s="8">
        <v>2966</v>
      </c>
      <c r="H364" s="8">
        <v>3</v>
      </c>
      <c r="I364" s="8">
        <f>TabelaVendas[[#This Row],[ValorUni]]*TabelaVendas[[#This Row],[Quantidade]]</f>
        <v>8898</v>
      </c>
    </row>
    <row r="365" spans="2:9">
      <c r="B365" s="8">
        <v>363</v>
      </c>
      <c r="C365" s="8" t="s">
        <v>120</v>
      </c>
      <c r="D365" s="8" t="s">
        <v>67</v>
      </c>
      <c r="E365" s="12">
        <v>43797</v>
      </c>
      <c r="F365" s="8" t="s">
        <v>136</v>
      </c>
      <c r="G365" s="8">
        <v>2966</v>
      </c>
      <c r="H365" s="8">
        <v>2</v>
      </c>
      <c r="I365" s="8">
        <f>TabelaVendas[[#This Row],[ValorUni]]*TabelaVendas[[#This Row],[Quantidade]]</f>
        <v>5932</v>
      </c>
    </row>
    <row r="366" spans="2:9">
      <c r="B366" s="8">
        <v>364</v>
      </c>
      <c r="C366" s="8" t="s">
        <v>121</v>
      </c>
      <c r="D366" s="8" t="s">
        <v>84</v>
      </c>
      <c r="E366" s="12">
        <v>43433</v>
      </c>
      <c r="F366" s="8" t="s">
        <v>136</v>
      </c>
      <c r="G366" s="8">
        <v>2966</v>
      </c>
      <c r="H366" s="8">
        <v>1</v>
      </c>
      <c r="I366" s="8">
        <f>TabelaVendas[[#This Row],[ValorUni]]*TabelaVendas[[#This Row],[Quantidade]]</f>
        <v>2966</v>
      </c>
    </row>
    <row r="367" spans="2:9">
      <c r="B367" s="8">
        <v>365</v>
      </c>
      <c r="C367" s="8" t="s">
        <v>124</v>
      </c>
      <c r="D367" s="8" t="s">
        <v>24</v>
      </c>
      <c r="E367" s="12">
        <v>43434</v>
      </c>
      <c r="F367" s="8" t="s">
        <v>136</v>
      </c>
      <c r="G367" s="8">
        <v>2966</v>
      </c>
      <c r="H367" s="8">
        <v>3</v>
      </c>
      <c r="I367" s="8">
        <f>TabelaVendas[[#This Row],[ValorUni]]*TabelaVendas[[#This Row],[Quantidade]]</f>
        <v>8898</v>
      </c>
    </row>
    <row r="368" spans="2:9">
      <c r="B368" s="8">
        <v>366</v>
      </c>
      <c r="C368" s="8" t="s">
        <v>121</v>
      </c>
      <c r="D368" s="8" t="s">
        <v>87</v>
      </c>
      <c r="E368" s="12">
        <v>43799</v>
      </c>
      <c r="F368" s="8" t="s">
        <v>136</v>
      </c>
      <c r="G368" s="8">
        <v>2966</v>
      </c>
      <c r="H368" s="8">
        <v>1</v>
      </c>
      <c r="I368" s="8">
        <f>TabelaVendas[[#This Row],[ValorUni]]*TabelaVendas[[#This Row],[Quantidade]]</f>
        <v>2966</v>
      </c>
    </row>
    <row r="369" spans="2:9">
      <c r="B369" s="8">
        <v>367</v>
      </c>
      <c r="C369" s="8" t="s">
        <v>121</v>
      </c>
      <c r="D369" s="8" t="s">
        <v>59</v>
      </c>
      <c r="E369" s="12">
        <v>44166</v>
      </c>
      <c r="F369" s="8" t="s">
        <v>136</v>
      </c>
      <c r="G369" s="8">
        <v>2966</v>
      </c>
      <c r="H369" s="8">
        <v>1</v>
      </c>
      <c r="I369" s="8">
        <f>TabelaVendas[[#This Row],[ValorUni]]*TabelaVendas[[#This Row],[Quantidade]]</f>
        <v>2966</v>
      </c>
    </row>
    <row r="370" spans="2:9">
      <c r="B370" s="8">
        <v>368</v>
      </c>
      <c r="C370" s="8" t="s">
        <v>118</v>
      </c>
      <c r="D370" s="8" t="s">
        <v>79</v>
      </c>
      <c r="E370" s="12">
        <v>44167</v>
      </c>
      <c r="F370" s="8" t="s">
        <v>136</v>
      </c>
      <c r="G370" s="8">
        <v>2966</v>
      </c>
      <c r="H370" s="8">
        <v>2</v>
      </c>
      <c r="I370" s="8">
        <f>TabelaVendas[[#This Row],[ValorUni]]*TabelaVendas[[#This Row],[Quantidade]]</f>
        <v>5932</v>
      </c>
    </row>
    <row r="371" spans="2:9">
      <c r="B371" s="8">
        <v>369</v>
      </c>
      <c r="C371" s="8" t="s">
        <v>118</v>
      </c>
      <c r="D371" s="8" t="s">
        <v>55</v>
      </c>
      <c r="E371" s="12">
        <v>43801</v>
      </c>
      <c r="F371" s="8" t="s">
        <v>136</v>
      </c>
      <c r="G371" s="8">
        <v>2966</v>
      </c>
      <c r="H371" s="8">
        <v>1</v>
      </c>
      <c r="I371" s="8">
        <f>TabelaVendas[[#This Row],[ValorUni]]*TabelaVendas[[#This Row],[Quantidade]]</f>
        <v>2966</v>
      </c>
    </row>
    <row r="372" spans="2:9">
      <c r="B372" s="8">
        <v>370</v>
      </c>
      <c r="C372" s="8" t="s">
        <v>118</v>
      </c>
      <c r="D372" s="8" t="s">
        <v>108</v>
      </c>
      <c r="E372" s="12">
        <v>44168</v>
      </c>
      <c r="F372" s="8" t="s">
        <v>128</v>
      </c>
      <c r="G372" s="8">
        <v>155</v>
      </c>
      <c r="H372" s="8">
        <v>1</v>
      </c>
      <c r="I372" s="8">
        <f>TabelaVendas[[#This Row],[ValorUni]]*TabelaVendas[[#This Row],[Quantidade]]</f>
        <v>155</v>
      </c>
    </row>
    <row r="373" spans="2:9">
      <c r="B373" s="8">
        <v>371</v>
      </c>
      <c r="C373" s="8" t="s">
        <v>120</v>
      </c>
      <c r="D373" s="8" t="s">
        <v>81</v>
      </c>
      <c r="E373" s="12">
        <v>43803</v>
      </c>
      <c r="F373" s="8" t="s">
        <v>135</v>
      </c>
      <c r="G373" s="8">
        <v>7658</v>
      </c>
      <c r="H373" s="8">
        <v>2</v>
      </c>
      <c r="I373" s="8">
        <f>TabelaVendas[[#This Row],[ValorUni]]*TabelaVendas[[#This Row],[Quantidade]]</f>
        <v>15316</v>
      </c>
    </row>
    <row r="374" spans="2:9">
      <c r="B374" s="8">
        <v>372</v>
      </c>
      <c r="C374" s="8" t="s">
        <v>116</v>
      </c>
      <c r="D374" s="8" t="s">
        <v>114</v>
      </c>
      <c r="E374" s="12">
        <v>44169</v>
      </c>
      <c r="F374" s="8" t="s">
        <v>137</v>
      </c>
      <c r="G374" s="8">
        <v>2955</v>
      </c>
      <c r="H374" s="8">
        <v>3</v>
      </c>
      <c r="I374" s="8">
        <f>TabelaVendas[[#This Row],[ValorUni]]*TabelaVendas[[#This Row],[Quantidade]]</f>
        <v>8865</v>
      </c>
    </row>
    <row r="375" spans="2:9">
      <c r="B375" s="8">
        <v>373</v>
      </c>
      <c r="C375" s="8" t="s">
        <v>116</v>
      </c>
      <c r="D375" s="8" t="s">
        <v>36</v>
      </c>
      <c r="E375" s="12">
        <v>43439</v>
      </c>
      <c r="F375" s="8" t="s">
        <v>130</v>
      </c>
      <c r="G375" s="8">
        <v>115</v>
      </c>
      <c r="H375" s="8">
        <v>3</v>
      </c>
      <c r="I375" s="8">
        <f>TabelaVendas[[#This Row],[ValorUni]]*TabelaVendas[[#This Row],[Quantidade]]</f>
        <v>345</v>
      </c>
    </row>
    <row r="376" spans="2:9">
      <c r="B376" s="8">
        <v>374</v>
      </c>
      <c r="C376" s="8" t="s">
        <v>116</v>
      </c>
      <c r="D376" s="8" t="s">
        <v>95</v>
      </c>
      <c r="E376" s="12">
        <v>43804</v>
      </c>
      <c r="F376" s="8" t="s">
        <v>129</v>
      </c>
      <c r="G376" s="8">
        <v>188</v>
      </c>
      <c r="H376" s="8">
        <v>2</v>
      </c>
      <c r="I376" s="8">
        <f>TabelaVendas[[#This Row],[ValorUni]]*TabelaVendas[[#This Row],[Quantidade]]</f>
        <v>376</v>
      </c>
    </row>
    <row r="377" spans="2:9">
      <c r="B377" s="8">
        <v>375</v>
      </c>
      <c r="C377" s="8" t="s">
        <v>116</v>
      </c>
      <c r="D377" s="8" t="s">
        <v>95</v>
      </c>
      <c r="E377" s="12">
        <v>43805</v>
      </c>
      <c r="F377" s="8" t="s">
        <v>136</v>
      </c>
      <c r="G377" s="8">
        <v>2966</v>
      </c>
      <c r="H377" s="8">
        <v>3</v>
      </c>
      <c r="I377" s="8">
        <f>TabelaVendas[[#This Row],[ValorUni]]*TabelaVendas[[#This Row],[Quantidade]]</f>
        <v>8898</v>
      </c>
    </row>
    <row r="378" spans="2:9">
      <c r="B378" s="8">
        <v>376</v>
      </c>
      <c r="C378" s="8" t="s">
        <v>122</v>
      </c>
      <c r="D378" s="8" t="s">
        <v>95</v>
      </c>
      <c r="E378" s="12">
        <v>44174</v>
      </c>
      <c r="F378" s="8" t="s">
        <v>134</v>
      </c>
      <c r="G378" s="8">
        <v>4255</v>
      </c>
      <c r="H378" s="8">
        <v>1</v>
      </c>
      <c r="I378" s="8">
        <f>TabelaVendas[[#This Row],[ValorUni]]*TabelaVendas[[#This Row],[Quantidade]]</f>
        <v>4255</v>
      </c>
    </row>
    <row r="379" spans="2:9">
      <c r="B379" s="8">
        <v>377</v>
      </c>
      <c r="C379" s="8" t="s">
        <v>124</v>
      </c>
      <c r="D379" s="8" t="s">
        <v>95</v>
      </c>
      <c r="E379" s="12">
        <v>43809</v>
      </c>
      <c r="F379" s="8" t="s">
        <v>135</v>
      </c>
      <c r="G379" s="8">
        <v>7658</v>
      </c>
      <c r="H379" s="8">
        <v>1</v>
      </c>
      <c r="I379" s="8">
        <f>TabelaVendas[[#This Row],[ValorUni]]*TabelaVendas[[#This Row],[Quantidade]]</f>
        <v>7658</v>
      </c>
    </row>
    <row r="380" spans="2:9">
      <c r="B380" s="8">
        <v>378</v>
      </c>
      <c r="C380" s="8" t="s">
        <v>123</v>
      </c>
      <c r="D380" s="8" t="s">
        <v>7</v>
      </c>
      <c r="E380" s="12">
        <v>43444</v>
      </c>
      <c r="F380" s="8" t="s">
        <v>136</v>
      </c>
      <c r="G380" s="8">
        <v>2966</v>
      </c>
      <c r="H380" s="8">
        <v>3</v>
      </c>
      <c r="I380" s="8">
        <f>TabelaVendas[[#This Row],[ValorUni]]*TabelaVendas[[#This Row],[Quantidade]]</f>
        <v>8898</v>
      </c>
    </row>
    <row r="381" spans="2:9">
      <c r="B381" s="8">
        <v>379</v>
      </c>
      <c r="C381" s="8" t="s">
        <v>122</v>
      </c>
      <c r="D381" s="8" t="s">
        <v>40</v>
      </c>
      <c r="E381" s="12">
        <v>44176</v>
      </c>
      <c r="F381" s="8" t="s">
        <v>135</v>
      </c>
      <c r="G381" s="8">
        <v>7658</v>
      </c>
      <c r="H381" s="8">
        <v>2</v>
      </c>
      <c r="I381" s="8">
        <f>TabelaVendas[[#This Row],[ValorUni]]*TabelaVendas[[#This Row],[Quantidade]]</f>
        <v>15316</v>
      </c>
    </row>
    <row r="382" spans="2:9">
      <c r="B382" s="8">
        <v>380</v>
      </c>
      <c r="C382" s="8" t="s">
        <v>124</v>
      </c>
      <c r="D382" s="8" t="s">
        <v>102</v>
      </c>
      <c r="E382" s="12">
        <v>43811</v>
      </c>
      <c r="F382" s="8" t="s">
        <v>134</v>
      </c>
      <c r="G382" s="8">
        <v>4255</v>
      </c>
      <c r="H382" s="8">
        <v>1</v>
      </c>
      <c r="I382" s="8">
        <f>TabelaVendas[[#This Row],[ValorUni]]*TabelaVendas[[#This Row],[Quantidade]]</f>
        <v>4255</v>
      </c>
    </row>
    <row r="383" spans="2:9">
      <c r="B383" s="8">
        <v>381</v>
      </c>
      <c r="C383" s="8" t="s">
        <v>119</v>
      </c>
      <c r="D383" s="8" t="s">
        <v>97</v>
      </c>
      <c r="E383" s="12">
        <v>44177</v>
      </c>
      <c r="F383" s="8" t="s">
        <v>134</v>
      </c>
      <c r="G383" s="8">
        <v>4255</v>
      </c>
      <c r="H383" s="8">
        <v>2</v>
      </c>
      <c r="I383" s="8">
        <f>TabelaVendas[[#This Row],[ValorUni]]*TabelaVendas[[#This Row],[Quantidade]]</f>
        <v>8510</v>
      </c>
    </row>
    <row r="384" spans="2:9">
      <c r="B384" s="8">
        <v>382</v>
      </c>
      <c r="C384" s="8" t="s">
        <v>122</v>
      </c>
      <c r="D384" s="8" t="s">
        <v>4</v>
      </c>
      <c r="E384" s="12">
        <v>43812</v>
      </c>
      <c r="F384" s="8" t="s">
        <v>135</v>
      </c>
      <c r="G384" s="8">
        <v>7658</v>
      </c>
      <c r="H384" s="8">
        <v>2</v>
      </c>
      <c r="I384" s="8">
        <f>TabelaVendas[[#This Row],[ValorUni]]*TabelaVendas[[#This Row],[Quantidade]]</f>
        <v>15316</v>
      </c>
    </row>
    <row r="385" spans="2:9">
      <c r="B385" s="8">
        <v>383</v>
      </c>
      <c r="C385" s="8" t="s">
        <v>122</v>
      </c>
      <c r="D385" s="8" t="s">
        <v>95</v>
      </c>
      <c r="E385" s="12">
        <v>44178</v>
      </c>
      <c r="F385" s="8" t="s">
        <v>133</v>
      </c>
      <c r="G385" s="8">
        <v>9201</v>
      </c>
      <c r="H385" s="8">
        <v>1</v>
      </c>
      <c r="I385" s="8">
        <f>TabelaVendas[[#This Row],[ValorUni]]*TabelaVendas[[#This Row],[Quantidade]]</f>
        <v>9201</v>
      </c>
    </row>
    <row r="386" spans="2:9">
      <c r="B386" s="8">
        <v>384</v>
      </c>
      <c r="C386" s="8" t="s">
        <v>125</v>
      </c>
      <c r="D386" s="8" t="s">
        <v>53</v>
      </c>
      <c r="E386" s="12">
        <v>43813</v>
      </c>
      <c r="F386" s="8" t="s">
        <v>128</v>
      </c>
      <c r="G386" s="8">
        <v>155</v>
      </c>
      <c r="H386" s="8">
        <v>2</v>
      </c>
      <c r="I386" s="8">
        <f>TabelaVendas[[#This Row],[ValorUni]]*TabelaVendas[[#This Row],[Quantidade]]</f>
        <v>310</v>
      </c>
    </row>
    <row r="387" spans="2:9">
      <c r="B387" s="8">
        <v>385</v>
      </c>
      <c r="C387" s="8" t="s">
        <v>120</v>
      </c>
      <c r="D387" s="8" t="s">
        <v>33</v>
      </c>
      <c r="E387" s="12">
        <v>44180</v>
      </c>
      <c r="F387" s="8" t="s">
        <v>129</v>
      </c>
      <c r="G387" s="8">
        <v>188</v>
      </c>
      <c r="H387" s="8">
        <v>2</v>
      </c>
      <c r="I387" s="8">
        <f>TabelaVendas[[#This Row],[ValorUni]]*TabelaVendas[[#This Row],[Quantidade]]</f>
        <v>376</v>
      </c>
    </row>
    <row r="388" spans="2:9">
      <c r="B388" s="8">
        <v>386</v>
      </c>
      <c r="C388" s="8" t="s">
        <v>123</v>
      </c>
      <c r="D388" s="8" t="s">
        <v>95</v>
      </c>
      <c r="E388" s="12">
        <v>43815</v>
      </c>
      <c r="F388" s="8" t="s">
        <v>136</v>
      </c>
      <c r="G388" s="8">
        <v>2966</v>
      </c>
      <c r="H388" s="8">
        <v>2</v>
      </c>
      <c r="I388" s="8">
        <f>TabelaVendas[[#This Row],[ValorUni]]*TabelaVendas[[#This Row],[Quantidade]]</f>
        <v>5932</v>
      </c>
    </row>
    <row r="389" spans="2:9">
      <c r="B389" s="8">
        <v>387</v>
      </c>
      <c r="C389" s="8" t="s">
        <v>123</v>
      </c>
      <c r="D389" s="8" t="s">
        <v>78</v>
      </c>
      <c r="E389" s="12">
        <v>43816</v>
      </c>
      <c r="F389" s="8" t="s">
        <v>132</v>
      </c>
      <c r="G389" s="8">
        <v>8852</v>
      </c>
      <c r="H389" s="8">
        <v>3</v>
      </c>
      <c r="I389" s="8">
        <f>TabelaVendas[[#This Row],[ValorUni]]*TabelaVendas[[#This Row],[Quantidade]]</f>
        <v>26556</v>
      </c>
    </row>
    <row r="390" spans="2:9">
      <c r="B390" s="8">
        <v>388</v>
      </c>
      <c r="C390" s="8" t="s">
        <v>123</v>
      </c>
      <c r="D390" s="8" t="s">
        <v>62</v>
      </c>
      <c r="E390" s="12">
        <v>44183</v>
      </c>
      <c r="F390" s="8" t="s">
        <v>137</v>
      </c>
      <c r="G390" s="8">
        <v>2955</v>
      </c>
      <c r="H390" s="8">
        <v>2</v>
      </c>
      <c r="I390" s="8">
        <f>TabelaVendas[[#This Row],[ValorUni]]*TabelaVendas[[#This Row],[Quantidade]]</f>
        <v>5910</v>
      </c>
    </row>
    <row r="391" spans="2:9">
      <c r="B391" s="8">
        <v>389</v>
      </c>
      <c r="C391" s="8" t="s">
        <v>123</v>
      </c>
      <c r="D391" s="8" t="s">
        <v>74</v>
      </c>
      <c r="E391" s="12">
        <v>44184</v>
      </c>
      <c r="F391" s="8" t="s">
        <v>131</v>
      </c>
      <c r="G391" s="8">
        <v>135</v>
      </c>
      <c r="H391" s="8">
        <v>2</v>
      </c>
      <c r="I391" s="8">
        <f>TabelaVendas[[#This Row],[ValorUni]]*TabelaVendas[[#This Row],[Quantidade]]</f>
        <v>270</v>
      </c>
    </row>
    <row r="392" spans="2:9">
      <c r="B392" s="8">
        <v>390</v>
      </c>
      <c r="C392" s="8" t="s">
        <v>122</v>
      </c>
      <c r="D392" s="8" t="s">
        <v>47</v>
      </c>
      <c r="E392" s="12">
        <v>44185</v>
      </c>
      <c r="F392" s="8" t="s">
        <v>136</v>
      </c>
      <c r="G392" s="8">
        <v>2966</v>
      </c>
      <c r="H392" s="8">
        <v>2</v>
      </c>
      <c r="I392" s="8">
        <f>TabelaVendas[[#This Row],[ValorUni]]*TabelaVendas[[#This Row],[Quantidade]]</f>
        <v>5932</v>
      </c>
    </row>
    <row r="393" spans="2:9">
      <c r="B393" s="8">
        <v>391</v>
      </c>
      <c r="C393" s="8" t="s">
        <v>125</v>
      </c>
      <c r="D393" s="8" t="s">
        <v>47</v>
      </c>
      <c r="E393" s="12">
        <v>43454</v>
      </c>
      <c r="F393" s="8" t="s">
        <v>136</v>
      </c>
      <c r="G393" s="8">
        <v>2966</v>
      </c>
      <c r="H393" s="8">
        <v>2</v>
      </c>
      <c r="I393" s="8">
        <f>TabelaVendas[[#This Row],[ValorUni]]*TabelaVendas[[#This Row],[Quantidade]]</f>
        <v>5932</v>
      </c>
    </row>
    <row r="394" spans="2:9">
      <c r="B394" s="8">
        <v>392</v>
      </c>
      <c r="C394" s="8" t="s">
        <v>124</v>
      </c>
      <c r="D394" s="8" t="s">
        <v>47</v>
      </c>
      <c r="E394" s="12">
        <v>43454</v>
      </c>
      <c r="F394" s="8" t="s">
        <v>136</v>
      </c>
      <c r="G394" s="8">
        <v>2966</v>
      </c>
      <c r="H394" s="8">
        <v>3</v>
      </c>
      <c r="I394" s="8">
        <f>TabelaVendas[[#This Row],[ValorUni]]*TabelaVendas[[#This Row],[Quantidade]]</f>
        <v>8898</v>
      </c>
    </row>
    <row r="395" spans="2:9">
      <c r="B395" s="8">
        <v>393</v>
      </c>
      <c r="C395" s="8" t="s">
        <v>119</v>
      </c>
      <c r="D395" s="8" t="s">
        <v>47</v>
      </c>
      <c r="E395" s="12">
        <v>43820</v>
      </c>
      <c r="F395" s="8" t="s">
        <v>136</v>
      </c>
      <c r="G395" s="8">
        <v>2966</v>
      </c>
      <c r="H395" s="8">
        <v>1</v>
      </c>
      <c r="I395" s="8">
        <f>TabelaVendas[[#This Row],[ValorUni]]*TabelaVendas[[#This Row],[Quantidade]]</f>
        <v>2966</v>
      </c>
    </row>
    <row r="396" spans="2:9">
      <c r="B396" s="8">
        <v>394</v>
      </c>
      <c r="C396" s="8" t="s">
        <v>121</v>
      </c>
      <c r="D396" s="8" t="s">
        <v>47</v>
      </c>
      <c r="E396" s="12">
        <v>43820</v>
      </c>
      <c r="F396" s="8" t="s">
        <v>136</v>
      </c>
      <c r="G396" s="8">
        <v>2966</v>
      </c>
      <c r="H396" s="8">
        <v>3</v>
      </c>
      <c r="I396" s="8">
        <f>TabelaVendas[[#This Row],[ValorUni]]*TabelaVendas[[#This Row],[Quantidade]]</f>
        <v>8898</v>
      </c>
    </row>
    <row r="397" spans="2:9">
      <c r="B397" s="8">
        <v>395</v>
      </c>
      <c r="C397" s="8" t="s">
        <v>121</v>
      </c>
      <c r="D397" s="8" t="s">
        <v>47</v>
      </c>
      <c r="E397" s="12">
        <v>43456</v>
      </c>
      <c r="F397" s="8" t="s">
        <v>136</v>
      </c>
      <c r="G397" s="8">
        <v>2966</v>
      </c>
      <c r="H397" s="8">
        <v>1</v>
      </c>
      <c r="I397" s="8">
        <f>TabelaVendas[[#This Row],[ValorUni]]*TabelaVendas[[#This Row],[Quantidade]]</f>
        <v>2966</v>
      </c>
    </row>
    <row r="398" spans="2:9">
      <c r="B398" s="8">
        <v>396</v>
      </c>
      <c r="C398" s="8" t="s">
        <v>116</v>
      </c>
      <c r="D398" s="8" t="s">
        <v>47</v>
      </c>
      <c r="E398" s="12">
        <v>43457</v>
      </c>
      <c r="F398" s="8" t="s">
        <v>136</v>
      </c>
      <c r="G398" s="8">
        <v>2966</v>
      </c>
      <c r="H398" s="8">
        <v>1</v>
      </c>
      <c r="I398" s="8">
        <f>TabelaVendas[[#This Row],[ValorUni]]*TabelaVendas[[#This Row],[Quantidade]]</f>
        <v>2966</v>
      </c>
    </row>
    <row r="399" spans="2:9">
      <c r="B399" s="8">
        <v>397</v>
      </c>
      <c r="C399" s="8" t="s">
        <v>116</v>
      </c>
      <c r="D399" s="8" t="s">
        <v>47</v>
      </c>
      <c r="E399" s="12">
        <v>43822</v>
      </c>
      <c r="F399" s="8" t="s">
        <v>136</v>
      </c>
      <c r="G399" s="8">
        <v>2966</v>
      </c>
      <c r="H399" s="8">
        <v>3</v>
      </c>
      <c r="I399" s="8">
        <f>TabelaVendas[[#This Row],[ValorUni]]*TabelaVendas[[#This Row],[Quantidade]]</f>
        <v>8898</v>
      </c>
    </row>
    <row r="400" spans="2:9">
      <c r="B400" s="8">
        <v>398</v>
      </c>
      <c r="C400" s="8" t="s">
        <v>116</v>
      </c>
      <c r="D400" s="8" t="s">
        <v>109</v>
      </c>
      <c r="E400" s="12">
        <v>43823</v>
      </c>
      <c r="F400" s="8" t="s">
        <v>137</v>
      </c>
      <c r="G400" s="8">
        <v>2955</v>
      </c>
      <c r="H400" s="8">
        <v>1</v>
      </c>
      <c r="I400" s="8">
        <f>TabelaVendas[[#This Row],[ValorUni]]*TabelaVendas[[#This Row],[Quantidade]]</f>
        <v>2955</v>
      </c>
    </row>
    <row r="401" spans="2:9">
      <c r="B401" s="8">
        <v>399</v>
      </c>
      <c r="C401" s="8" t="s">
        <v>116</v>
      </c>
      <c r="D401" s="8" t="s">
        <v>34</v>
      </c>
      <c r="E401" s="12">
        <v>43824</v>
      </c>
      <c r="F401" s="8" t="s">
        <v>128</v>
      </c>
      <c r="G401" s="8">
        <v>155</v>
      </c>
      <c r="H401" s="8">
        <v>1</v>
      </c>
      <c r="I401" s="8">
        <f>TabelaVendas[[#This Row],[ValorUni]]*TabelaVendas[[#This Row],[Quantidade]]</f>
        <v>155</v>
      </c>
    </row>
    <row r="402" spans="2:9">
      <c r="B402" s="8">
        <v>400</v>
      </c>
      <c r="C402" s="8" t="s">
        <v>121</v>
      </c>
      <c r="D402" s="8" t="s">
        <v>101</v>
      </c>
      <c r="E402" s="12">
        <v>43827</v>
      </c>
      <c r="F402" s="8" t="s">
        <v>136</v>
      </c>
      <c r="G402" s="8">
        <v>2966</v>
      </c>
      <c r="H402" s="8">
        <v>3</v>
      </c>
      <c r="I402" s="8">
        <f>TabelaVendas[[#This Row],[ValorUni]]*TabelaVendas[[#This Row],[Quantidade]]</f>
        <v>8898</v>
      </c>
    </row>
  </sheetData>
  <sortState xmlns:xlrd2="http://schemas.microsoft.com/office/spreadsheetml/2017/richdata2" ref="E3:E402">
    <sortCondition ref="E3"/>
  </sortState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Principal</vt:lpstr>
      <vt:lpstr>Pivot</vt:lpstr>
      <vt:lpstr>Vendas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Auguxto Fioruci</cp:lastModifiedBy>
  <cp:lastPrinted>2020-07-11T10:51:32Z</cp:lastPrinted>
  <dcterms:created xsi:type="dcterms:W3CDTF">2017-10-09T14:07:49Z</dcterms:created>
  <dcterms:modified xsi:type="dcterms:W3CDTF">2025-12-12T21:35:58Z</dcterms:modified>
</cp:coreProperties>
</file>